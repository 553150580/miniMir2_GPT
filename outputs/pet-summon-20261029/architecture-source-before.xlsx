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a9fec670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b1ada5e5247c4451"/>
    <x:sheet xmlns:r="http://schemas.openxmlformats.org/officeDocument/2006/relationships" name="架构_节点角色" sheetId="2" r:id="R6c79f5d745d34f83"/>
    <x:sheet xmlns:r="http://schemas.openxmlformats.org/officeDocument/2006/relationships" name="架构_候选预算" sheetId="3" r:id="R12b34da2698d4bdb"/>
    <x:sheet xmlns:r="http://schemas.openxmlformats.org/officeDocument/2006/relationships" name="架构_存储围栏" sheetId="4" r:id="Rbcc852e85c5c43ed"/>
    <x:sheet xmlns:r="http://schemas.openxmlformats.org/officeDocument/2006/relationships" name="架构_消息号区段" sheetId="5" r:id="R33f3c7b6ba5c431c"/>
    <x:sheet xmlns:r="http://schemas.openxmlformats.org/officeDocument/2006/relationships" name="架构_配置分类" sheetId="6" r:id="R07178cb5c341459e"/>
    <x:sheet xmlns:r="http://schemas.openxmlformats.org/officeDocument/2006/relationships" name="架构_交付门槛" sheetId="7" r:id="R410def4c48164338"/>
    <x:sheet xmlns:r="http://schemas.openxmlformats.org/officeDocument/2006/relationships" name="发布缺口" sheetId="8" r:id="Rb1031f8d02e54e0b"/>
    <x:sheet xmlns:r="http://schemas.openxmlformats.org/officeDocument/2006/relationships" name="使用说明" sheetId="9" r:id="R2a333b1b5d9d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4"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  <x:dxf>
      <x:font>
        <x:color rgb="FF9B2C2C"/>
      </x:font>
      <x:fill>
        <x:patternFill patternType="solid">
          <x:bgColor rgb="FFFCE3E0"/>
        </x:patternFill>
      </x:fill>
    </x:dxf>
    <x:dxf>
      <x:font>
        <x:color rgb="FF526579"/>
      </x:font>
      <x:fill>
        <x:patternFill patternType="solid">
          <x:bgColor rgb="FFE9ECEF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color rgb="FF8256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124e9404546ea" /><Relationship Type="http://schemas.openxmlformats.org/officeDocument/2006/relationships/theme" Target="/xl/theme/theme1.xml" Id="R006251b040644314" /><Relationship Type="http://schemas.microsoft.com/office/2022/11/relationships/FeaturePropertyBag" Target="/xl/featurePropertyBag/featurePropertyBag.xml" Id="Rab55247ae9454852" /><Relationship Type="http://schemas.openxmlformats.org/officeDocument/2006/relationships/sharedStrings" Target="/xl/sharedStrings.xml" Id="Re66f34d0bbb94d3e" /><Relationship Type="http://schemas.openxmlformats.org/officeDocument/2006/relationships/worksheet" Target="/xl/worksheets/sheet1.xml" Id="Rb1ada5e5247c4451" /><Relationship Type="http://schemas.openxmlformats.org/officeDocument/2006/relationships/worksheet" Target="/xl/worksheets/sheet2.xml" Id="R6c79f5d745d34f83" /><Relationship Type="http://schemas.openxmlformats.org/officeDocument/2006/relationships/worksheet" Target="/xl/worksheets/sheet3.xml" Id="R12b34da2698d4bdb" /><Relationship Type="http://schemas.openxmlformats.org/officeDocument/2006/relationships/worksheet" Target="/xl/worksheets/sheet4.xml" Id="Rbcc852e85c5c43ed" /><Relationship Type="http://schemas.openxmlformats.org/officeDocument/2006/relationships/worksheet" Target="/xl/worksheets/sheet5.xml" Id="R33f3c7b6ba5c431c" /><Relationship Type="http://schemas.openxmlformats.org/officeDocument/2006/relationships/worksheet" Target="/xl/worksheets/sheet6.xml" Id="R07178cb5c341459e" /><Relationship Type="http://schemas.openxmlformats.org/officeDocument/2006/relationships/worksheet" Target="/xl/worksheets/sheet7.xml" Id="R410def4c48164338" /><Relationship Type="http://schemas.openxmlformats.org/officeDocument/2006/relationships/worksheet" Target="/xl/worksheets/sheet8.xml" Id="Rb1031f8d02e54e0b" /><Relationship Type="http://schemas.openxmlformats.org/officeDocument/2006/relationships/worksheet" Target="/xl/worksheets/sheet9.xml" Id="R2a333b1b5d9d46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架构配置目录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单程序节点与监管模式</x:v>
      </x:c>
      <x:c r="B6" s="2" t="str">
        <x:v>arch_node_roles</x:v>
      </x:c>
      <x:c r="C6" s="2" t="n">
        <x:f>COUNTA('架构_节点角色'!$A$4:$A$10003)</x:f>
        <x:v>4</x:v>
      </x:c>
      <x:c r="D6" s="2" t="n">
        <x:f>COUNTIFS('架构_节点角色'!$B$4:$B$10003,"confirmed")</x:f>
        <x:v>4</x:v>
      </x:c>
      <x:c r="E6" s="2" t="n">
        <x:f>COUNTIFS('架构_节点角色'!$B$4:$B$10003,"candidate")</x:f>
        <x:v>0</x:v>
      </x:c>
      <x:c r="F6" s="2" t="n">
        <x:f>COUNTIFS('架构_节点角色'!$B$4:$B$10003,"unverified")</x:f>
        <x:v>0</x:v>
      </x:c>
      <x:c r="G6" s="2" t="n">
        <x:f>COUNTIFS('架构_节点角色'!$B$4:$B$10003,"historical")</x:f>
        <x:v>0</x:v>
      </x:c>
      <x:c r="H6" s="8" t="str">
        <x:v>是</x:v>
      </x:c>
    </x:row>
    <x:row r="7" ht="26" customHeight="1">
      <x:c r="A7" s="2" t="str">
        <x:v>首轮运行与性能实验参数</x:v>
      </x:c>
      <x:c r="B7" s="2" t="str">
        <x:v>arch_runtime_budgets</x:v>
      </x:c>
      <x:c r="C7" s="2" t="n">
        <x:f>COUNTA('架构_候选预算'!$A$4:$A$10003)</x:f>
        <x:v>39</x:v>
      </x:c>
      <x:c r="D7" s="2" t="n">
        <x:f>COUNTIFS('架构_候选预算'!$B$4:$B$10003,"confirmed")</x:f>
        <x:v>0</x:v>
      </x:c>
      <x:c r="E7" s="2" t="n">
        <x:f>COUNTIFS('架构_候选预算'!$B$4:$B$10003,"candidate")</x:f>
        <x:v>39</x:v>
      </x:c>
      <x:c r="F7" s="2" t="n">
        <x:f>COUNTIFS('架构_候选预算'!$B$4:$B$10003,"unverified")</x:f>
        <x:v>0</x:v>
      </x:c>
      <x:c r="G7" s="2" t="n">
        <x:f>COUNTIFS('架构_候选预算'!$B$4:$B$10003,"historical")</x:f>
        <x:v>0</x:v>
      </x:c>
      <x:c r="H7" s="8" t="str">
        <x:v>是</x:v>
      </x:c>
    </x:row>
    <x:row r="8" ht="26" customHeight="1">
      <x:c r="A8" s="2" t="str">
        <x:v>采用的存储围栏启动契约</x:v>
      </x:c>
      <x:c r="B8" s="2" t="str">
        <x:v>arch_storage_guards</x:v>
      </x:c>
      <x:c r="C8" s="2" t="n">
        <x:f>COUNTA('架构_存储围栏'!$A$4:$A$10003)</x:f>
        <x:v>1</x:v>
      </x:c>
      <x:c r="D8" s="2" t="n">
        <x:f>COUNTIFS('架构_存储围栏'!$B$4:$B$10003,"confirmed")</x:f>
        <x:v>1</x:v>
      </x:c>
      <x:c r="E8" s="2" t="n">
        <x:f>COUNTIFS('架构_存储围栏'!$B$4:$B$10003,"candidate")</x:f>
        <x:v>0</x:v>
      </x:c>
      <x:c r="F8" s="2" t="n">
        <x:f>COUNTIFS('架构_存储围栏'!$B$4:$B$10003,"unverified")</x:f>
        <x:v>0</x:v>
      </x:c>
      <x:c r="G8" s="2" t="n">
        <x:f>COUNTIFS('架构_存储围栏'!$B$4:$B$10003,"historical")</x:f>
        <x:v>0</x:v>
      </x:c>
      <x:c r="H8" s="8" t="str">
        <x:v>是</x:v>
      </x:c>
    </x:row>
    <x:row r="9" ht="26" customHeight="1">
      <x:c r="A9" s="2" t="str">
        <x:v>消息号分配区段契约</x:v>
      </x:c>
      <x:c r="B9" s="2" t="str">
        <x:v>arch_protocol_ranges</x:v>
      </x:c>
      <x:c r="C9" s="2" t="n">
        <x:f>COUNTA('架构_消息号区段'!$A$4:$A$10003)</x:f>
        <x:v>7</x:v>
      </x:c>
      <x:c r="D9" s="2" t="n">
        <x:f>COUNTIFS('架构_消息号区段'!$B$4:$B$10003,"confirmed")</x:f>
        <x:v>7</x:v>
      </x:c>
      <x:c r="E9" s="2" t="n">
        <x:f>COUNTIFS('架构_消息号区段'!$B$4:$B$10003,"candidate")</x:f>
        <x:v>0</x:v>
      </x:c>
      <x:c r="F9" s="2" t="n">
        <x:f>COUNTIFS('架构_消息号区段'!$B$4:$B$10003,"unverified")</x:f>
        <x:v>0</x:v>
      </x:c>
      <x:c r="G9" s="2" t="n">
        <x:f>COUNTIFS('架构_消息号区段'!$B$4:$B$10003,"historical")</x:f>
        <x:v>0</x:v>
      </x:c>
      <x:c r="H9" s="8" t="str">
        <x:v>是</x:v>
      </x:c>
    </x:row>
    <x:row r="10" ht="26" customHeight="1">
      <x:c r="A10" s="2" t="str">
        <x:v>配置发布和维护边界</x:v>
      </x:c>
      <x:c r="B10" s="2" t="str">
        <x:v>arch_config_classes</x:v>
      </x:c>
      <x:c r="C10" s="2" t="n">
        <x:f>COUNTA('架构_配置分类'!$A$4:$A$10003)</x:f>
        <x:v>6</x:v>
      </x:c>
      <x:c r="D10" s="2" t="n">
        <x:f>COUNTIFS('架构_配置分类'!$B$4:$B$10003,"confirmed")</x:f>
        <x:v>6</x:v>
      </x:c>
      <x:c r="E10" s="2" t="n">
        <x:f>COUNTIFS('架构_配置分类'!$B$4:$B$10003,"candidate")</x:f>
        <x:v>0</x:v>
      </x:c>
      <x:c r="F10" s="2" t="n">
        <x:f>COUNTIFS('架构_配置分类'!$B$4:$B$10003,"unverified")</x:f>
        <x:v>0</x:v>
      </x:c>
      <x:c r="G10" s="2" t="n">
        <x:f>COUNTIFS('架构_配置分类'!$B$4:$B$10003,"historical")</x:f>
        <x:v>0</x:v>
      </x:c>
      <x:c r="H10" s="8" t="str">
        <x:v>是</x:v>
      </x:c>
    </x:row>
    <x:row r="11" ht="26" customHeight="1">
      <x:c r="A11" s="2" t="str">
        <x:v>按最终范围适配的交付阶段</x:v>
      </x:c>
      <x:c r="B11" s="2" t="str">
        <x:v>arch_stage_gates</x:v>
      </x:c>
      <x:c r="C11" s="2" t="n">
        <x:f>COUNTA('架构_交付门槛'!$A$4:$A$10003)</x:f>
        <x:v>8</x:v>
      </x:c>
      <x:c r="D11" s="2" t="n">
        <x:f>COUNTIFS('架构_交付门槛'!$B$4:$B$10003,"confirmed")</x:f>
        <x:v>8</x:v>
      </x:c>
      <x:c r="E11" s="2" t="n">
        <x:f>COUNTIFS('架构_交付门槛'!$B$4:$B$10003,"candidate")</x:f>
        <x:v>0</x:v>
      </x:c>
      <x:c r="F11" s="2" t="n">
        <x:f>COUNTIFS('架构_交付门槛'!$B$4:$B$10003,"unverified")</x:f>
        <x:v>0</x:v>
      </x:c>
      <x:c r="G11" s="2" t="n">
        <x:f>COUNTIFS('架构_交付门槛'!$B$4:$B$10003,"historical")</x:f>
        <x:v>0</x:v>
      </x:c>
      <x:c r="H11" s="8" t="str">
        <x:v>是</x:v>
      </x:c>
    </x:row>
    <x:row r="12" ht="26" customHeight="1">
      <x:c r="A12" s="2"/>
      <x:c r="B12" s="2"/>
      <x:c r="C12" s="2"/>
      <x:c r="D12" s="2"/>
      <x:c r="E12" s="2"/>
      <x:c r="F12" s="2"/>
      <x:c r="G12" s="2"/>
      <x:c r="H12" s="8"/>
    </x:row>
    <x:row r="13" ht="26" customHeight="1">
      <x:c r="A13" s="2"/>
      <x:c r="B13" s="2"/>
      <x:c r="C13" s="2"/>
      <x:c r="D13" s="2"/>
      <x:c r="E13" s="2"/>
      <x:c r="F13" s="2"/>
      <x:c r="G13" s="2"/>
      <x:c r="H13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  <x:col min="10" max="10" width="23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角色代码</x:v>
      </x:c>
      <x:c r="F1" s="7" t="str">
        <x:v>进程模式</x:v>
      </x:c>
      <x:c r="G1" s="7" t="str">
        <x:v>单例范围</x:v>
      </x:c>
      <x:c r="H1" s="7" t="str">
        <x:v>职责</x:v>
      </x:c>
      <x:c r="I1" s="7" t="str">
        <x:v>适配状态</x:v>
      </x:c>
      <x:c r="J1" s="7" t="str">
        <x:v>实现状态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process_mode</x:v>
      </x:c>
      <x:c r="G2" s="11" t="str">
        <x:v>singleton_scope</x:v>
      </x:c>
      <x:c r="H2" s="11" t="str">
        <x:v>responsibilities</x:v>
      </x:c>
      <x:c r="I2" s="11" t="str">
        <x:v>adaptation_status</x:v>
      </x:c>
      <x:c r="J2" s="11" t="str">
        <x:v>implementation_status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string / 必填 / server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39.599998474121094" hidden="0" customHeight="1">
      <x:c r="A4" s="18" t="n">
        <x:v>1</x:v>
      </x:c>
      <x:c r="B4" s="16" t="str">
        <x:v>confirmed</x:v>
      </x:c>
      <x:c r="C4" s="17" t="str">
        <x:v>最终策划案.md §7.1 L961、§7.5 L1106–1110；架构方案.md §2 L54</x:v>
      </x:c>
      <x:c r="D4" s="17" t="str">
        <x:v>新授权走account事务；发现注册不能自行取得run权限</x:v>
      </x:c>
      <x:c r="E4" s="16" t="str">
        <x:v>account</x:v>
      </x:c>
      <x:c r="F4" s="16" t="str">
        <x:v>node</x:v>
      </x:c>
      <x:c r="G4" s="16" t="str">
        <x:v>cluster_control_role</x:v>
      </x:c>
      <x:c r="H4" s="16" t="str">
        <x:v>认证、入口与角色目录、短期票据、受控节点/run新授权</x:v>
      </x:c>
      <x:c r="I4" s="16" t="str">
        <x:v>adapt</x:v>
      </x:c>
      <x:c r="J4" s="16" t="str">
        <x:v>not_implemented</x:v>
      </x:c>
    </x:row>
    <x:row r="5" ht="39.599998474121094" hidden="0" customHeight="1">
      <x:c r="A5" s="18" t="n">
        <x:v>2</x:v>
      </x:c>
      <x:c r="B5" s="16" t="str">
        <x:v>confirmed</x:v>
      </x:c>
      <x:c r="C5" s="17" t="str">
        <x:v>最终策划案.md §7.5 L1108–1109；架构方案.md §17 L903–948</x:v>
      </x:c>
      <x:c r="D5" s="17" t="str">
        <x:v>原文明确的技术参考；实现与验收待执行</x:v>
      </x:c>
      <x:c r="E5" s="16" t="str">
        <x:v>gm</x:v>
      </x:c>
      <x:c r="F5" s="16" t="str">
        <x:v>node</x:v>
      </x:c>
      <x:c r="G5" s="16" t="str">
        <x:v>cluster_control_role</x:v>
      </x:c>
      <x:c r="H5" s="16" t="str">
        <x:v>权限管理、配置与维护/合服任务、审计、受控业务命令</x:v>
      </x:c>
      <x:c r="I5" s="16" t="str">
        <x:v>adopt</x:v>
      </x:c>
      <x:c r="J5" s="16" t="str">
        <x:v>not_implemented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§7.1 L961、§7.5 L1110；架构方案.md §2 L55</x:v>
      </x:c>
      <x:c r="D6" s="17" t="str">
        <x:v>共享调度与有界Worker；特殊挑战永久写经角色owner</x:v>
      </x:c>
      <x:c r="E6" s="16" t="str">
        <x:v>game</x:v>
      </x:c>
      <x:c r="F6" s="16" t="str">
        <x:v>node</x:v>
      </x:c>
      <x:c r="G6" s="16" t="str">
        <x:v>exclusive_per_run_lease</x:v>
      </x:c>
      <x:c r="H6" s="16" t="str">
        <x:v>多run、角色唯一owner、个人/多人战斗、托管、资产及双市场</x:v>
      </x:c>
      <x:c r="I6" s="16" t="str">
        <x:v>adapt</x:v>
      </x:c>
      <x:c r="J6" s="16" t="str">
        <x:v>not_implemented</x:v>
      </x:c>
    </x:row>
    <x:row r="7" ht="39.599998474121094" hidden="0" customHeight="1">
      <x:c r="A7" s="18" t="n">
        <x:v>4</x:v>
      </x:c>
      <x:c r="B7" s="16" t="str">
        <x:v>confirmed</x:v>
      </x:c>
      <x:c r="C7" s="17" t="str">
        <x:v>架构方案.md §2 L57、§17.1 L905–920；最终策划案.md §7.5 L1112</x:v>
      </x:c>
      <x:c r="D7" s="17" t="str">
        <x:v>架构技术扩展；尚无OS服务或启动器</x:v>
      </x:c>
      <x:c r="E7" s="16" t="str">
        <x:v>supervisor</x:v>
      </x:c>
      <x:c r="F7" s="16" t="str">
        <x:v>supervisor</x:v>
      </x:c>
      <x:c r="G7" s="16" t="str">
        <x:v>host_management_endpoint</x:v>
      </x:c>
      <x:c r="H7" s="16" t="str">
        <x:v>本机进程启动/停止/重启、OS进程身份核验、计划任务与对账</x:v>
      </x:c>
      <x:c r="I7" s="16" t="str">
        <x:v>adopt</x:v>
      </x:c>
      <x:c r="J7" s="16" t="str">
        <x:v>not_implemented</x:v>
      </x:c>
    </x:row>
    <x:row r="8" ht="15" hidden="0" customHeight="1">
      <x:c r="A8" s="18"/>
      <x:c r="B8" s="16"/>
      <x:c r="C8" s="17"/>
      <x:c r="D8" s="17"/>
      <x:c r="E8" s="16"/>
      <x:c r="F8" s="16"/>
      <x:c r="G8" s="16"/>
      <x:c r="H8" s="16"/>
      <x:c r="I8" s="16"/>
      <x:c r="J8" s="16"/>
    </x:row>
    <x:row r="9" ht="15" hidden="0" customHeight="1">
      <x:c r="A9" s="18"/>
      <x:c r="B9" s="16"/>
      <x:c r="C9" s="17"/>
      <x:c r="D9" s="17"/>
      <x:c r="E9" s="16"/>
      <x:c r="F9" s="16"/>
      <x:c r="G9" s="16"/>
      <x:c r="H9" s="16"/>
      <x:c r="I9" s="16"/>
      <x:c r="J9" s="16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containsText" dxfId="1" priority="2" operator="containsText" text="candidate"/>
    <x:cfRule type="containsText" dxfId="2" priority="3" operator="containsText" text="unverified"/>
    <x:cfRule type="containsText" dxfId="3" priority="4" operator="containsText" text="historical"/>
  </x:conditionalFormatting>
  <x:conditionalFormatting sqref="D4:D1003">
    <x:cfRule type="expression" dxfId="4" priority="5">
      <x:formula>AND($A4&lt;&gt;"",ISBLANK(D4))</x:formula>
    </x:cfRule>
  </x:conditionalFormatting>
  <x:conditionalFormatting sqref="E4:E1003">
    <x:cfRule type="expression" dxfId="5" priority="6">
      <x:formula>AND($A4&lt;&gt;"",ISBLANK(E4))</x:formula>
    </x:cfRule>
  </x:conditionalFormatting>
  <x:conditionalFormatting sqref="F4:F1003">
    <x:cfRule type="expression" dxfId="6" priority="7">
      <x:formula>AND($A4&lt;&gt;"",ISBLANK(F4))</x:formula>
    </x:cfRule>
  </x:conditionalFormatting>
  <x:conditionalFormatting sqref="G4:G1003">
    <x:cfRule type="expression" dxfId="7" priority="8">
      <x:formula>AND($A4&lt;&gt;"",ISBLANK(G4))</x:formula>
    </x:cfRule>
  </x:conditionalFormatting>
  <x:conditionalFormatting sqref="H4:H1003">
    <x:cfRule type="expression" dxfId="8" priority="9">
      <x:formula>AND($A4&lt;&gt;"",ISBLANK(H4))</x:formula>
    </x:cfRule>
  </x:conditionalFormatting>
  <x:conditionalFormatting sqref="I4:I1003">
    <x:cfRule type="expression" dxfId="9" priority="10">
      <x:formula>AND($A4&lt;&gt;"",ISBLANK(I4))</x:formula>
    </x:cfRule>
  </x:conditionalFormatting>
  <x:conditionalFormatting sqref="J4:J1003">
    <x:cfRule type="expression" dxfId="10" priority="11">
      <x:formula>AND($A4&lt;&gt;"",ISBLANK(J4))</x:formula>
    </x:cfRule>
  </x:conditionalFormatting>
  <x:dataValidations count="3">
    <x:dataValidation type="list" sqref="B4:B1003">
      <x:formula1>"confirmed,candidate,unverified,historical"</x:formula1>
    </x:dataValidation>
    <x:dataValidation type="list" sqref="I4:I1003">
      <x:formula1>"adopt,adapt,defer"</x:formula1>
    </x:dataValidation>
    <x:dataValidation type="list" sqref="J4:J1003">
      <x:formula1>"not_implemented"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9" hidden="0" customWidth="1"/>
    <x:col min="10" max="10" width="21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参数代码</x:v>
      </x:c>
      <x:c r="F1" s="7" t="str">
        <x:v>候选值</x:v>
      </x:c>
      <x:c r="G1" s="7" t="str">
        <x:v>单位</x:v>
      </x:c>
      <x:c r="H1" s="7" t="str">
        <x:v>适用范围</x:v>
      </x:c>
      <x:c r="I1" s="7" t="str">
        <x:v>适配状态</x:v>
      </x:c>
      <x:c r="J1" s="7" t="str">
        <x:v>验证状态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value</x:v>
      </x:c>
      <x:c r="G2" s="11" t="str">
        <x:v>value_unit</x:v>
      </x:c>
      <x:c r="H2" s="11" t="str">
        <x:v>applicability</x:v>
      </x:c>
      <x:c r="I2" s="11" t="str">
        <x:v>adaptation_status</x:v>
      </x:c>
      <x:c r="J2" s="11" t="str">
        <x:v>verification_status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number / 必填 / server</x:v>
      </x:c>
      <x:c r="G3" s="14" t="str">
        <x:v>string / 必填 / server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15" hidden="0" customHeight="1">
      <x:c r="A4" s="18" t="n">
        <x:v>1</x:v>
      </x:c>
      <x:c r="B4" s="16" t="str">
        <x:v>candidate</x:v>
      </x:c>
      <x:c r="C4" s="17" t="str">
        <x:v>架构方案.md §4.1 L198–204</x:v>
      </x:c>
      <x:c r="D4" s="17" t="str">
        <x:v>worker数量仅实验起点；与DB组无对应关系</x:v>
      </x:c>
      <x:c r="E4" s="16" t="str">
        <x:v>role_worker_count</x:v>
      </x:c>
      <x:c r="F4" s="19" t="n">
        <x:v>8</x:v>
      </x:c>
      <x:c r="G4" s="16" t="str">
        <x:v>个/game</x:v>
      </x:c>
      <x:c r="H4" s="16" t="str">
        <x:v>角色单写worker</x:v>
      </x:c>
      <x:c r="I4" s="16" t="str">
        <x:v>adopt</x:v>
      </x:c>
      <x:c r="J4" s="16" t="str">
        <x:v>pending</x:v>
      </x:c>
    </x:row>
    <x:row r="5" ht="26.399999618530273" hidden="0" customHeight="1">
      <x:c r="A5" s="18" t="n">
        <x:v>2</x:v>
      </x:c>
      <x:c r="B5" s="16" t="str">
        <x:v>candidate</x:v>
      </x:c>
      <x:c r="C5" s="17" t="str">
        <x:v>架构方案.md §4.1 L206</x:v>
      </x:c>
      <x:c r="D5" s="17" t="str">
        <x:v>软时间预算共同生效</x:v>
      </x:c>
      <x:c r="E5" s="16" t="str">
        <x:v>role_commands_per_round</x:v>
      </x:c>
      <x:c r="F5" s="19" t="n">
        <x:v>16</x:v>
      </x:c>
      <x:c r="G5" s="16" t="str">
        <x:v>条/轮</x:v>
      </x:c>
      <x:c r="H5" s="16" t="str">
        <x:v>角色公平轮转</x:v>
      </x:c>
      <x:c r="I5" s="16" t="str">
        <x:v>adopt</x:v>
      </x:c>
      <x:c r="J5" s="16" t="str">
        <x:v>pending</x:v>
      </x:c>
    </x:row>
    <x:row r="6" ht="26.399999618530273" hidden="0" customHeight="1">
      <x:c r="A6" s="18" t="n">
        <x:v>3</x:v>
      </x:c>
      <x:c r="B6" s="16" t="str">
        <x:v>candidate</x:v>
      </x:c>
      <x:c r="C6" s="17" t="str">
        <x:v>架构方案.md §4.1 L206</x:v>
      </x:c>
      <x:c r="D6" s="17" t="str">
        <x:v>软预算；复杂计算需拆分</x:v>
      </x:c>
      <x:c r="E6" s="16" t="str">
        <x:v>role_round_soft_budget_ms</x:v>
      </x:c>
      <x:c r="F6" s="19" t="n">
        <x:v>1</x:v>
      </x:c>
      <x:c r="G6" s="16" t="str">
        <x:v>ms</x:v>
      </x:c>
      <x:c r="H6" s="16" t="str">
        <x:v>角色公平轮转</x:v>
      </x:c>
      <x:c r="I6" s="16" t="str">
        <x:v>adopt</x:v>
      </x:c>
      <x:c r="J6" s="16" t="str">
        <x:v>pending</x:v>
      </x:c>
    </x:row>
    <x:row r="7" ht="15" hidden="0" customHeight="1">
      <x:c r="A7" s="18" t="n">
        <x:v>4</x:v>
      </x:c>
      <x:c r="B7" s="16" t="str">
        <x:v>candidate</x:v>
      </x:c>
      <x:c r="C7" s="17" t="str">
        <x:v>架构方案.md §4.2 L213</x:v>
      </x:c>
      <x:c r="D7" s="17" t="str">
        <x:v>按策划共享调度，非每个人实例独立执行池</x:v>
      </x:c>
      <x:c r="E7" s="16" t="str">
        <x:v>simulation_hz</x:v>
      </x:c>
      <x:c r="F7" s="19" t="n">
        <x:v>20</x:v>
      </x:c>
      <x:c r="G7" s="16" t="str">
        <x:v>Hz</x:v>
      </x:c>
      <x:c r="H7" s="16" t="str">
        <x:v>活跃战斗模拟起点</x:v>
      </x:c>
      <x:c r="I7" s="16" t="str">
        <x:v>adapt</x:v>
      </x:c>
      <x:c r="J7" s="16" t="str">
        <x:v>pending</x:v>
      </x:c>
    </x:row>
    <x:row r="8" ht="15" hidden="0" customHeight="1">
      <x:c r="A8" s="18" t="n">
        <x:v>5</x:v>
      </x:c>
      <x:c r="B8" s="16" t="str">
        <x:v>candidate</x:v>
      </x:c>
      <x:c r="C8" s="17" t="str">
        <x:v>架构方案.md §6.2 L344</x:v>
      </x:c>
      <x:c r="D8" s="17" t="str">
        <x:v>策划§7.5 L1122另有20/5起步建议；采用当前架构候选并实测</x:v>
      </x:c>
      <x:c r="E8" s="16" t="str">
        <x:v>lease_duration_sec</x:v>
      </x:c>
      <x:c r="F8" s="19" t="n">
        <x:v>15</x:v>
      </x:c>
      <x:c r="G8" s="16" t="str">
        <x:v>s</x:v>
      </x:c>
      <x:c r="H8" s="16" t="str">
        <x:v>node/run授权租约试验</x:v>
      </x:c>
      <x:c r="I8" s="16" t="str">
        <x:v>adapt</x:v>
      </x:c>
      <x:c r="J8" s="16" t="str">
        <x:v>pending</x:v>
      </x:c>
    </x:row>
    <x:row r="9" ht="26.399999618530273" hidden="0" customHeight="1">
      <x:c r="A9" s="18" t="n">
        <x:v>6</x:v>
      </x:c>
      <x:c r="B9" s="16" t="str">
        <x:v>candidate</x:v>
      </x:c>
      <x:c r="C9" s="17" t="str">
        <x:v>架构方案.md §6.2 L344</x:v>
      </x:c>
      <x:c r="D9" s="17" t="str">
        <x:v>不是account离线时重新授权</x:v>
      </x:c>
      <x:c r="E9" s="16" t="str">
        <x:v>lease_renew_interval_sec</x:v>
      </x:c>
      <x:c r="F9" s="19" t="n">
        <x:v>3</x:v>
      </x:c>
      <x:c r="G9" s="16" t="str">
        <x:v>s</x:v>
      </x:c>
      <x:c r="H9" s="16" t="str">
        <x:v>直接续租既有授权</x:v>
      </x:c>
      <x:c r="I9" s="16" t="str">
        <x:v>adopt</x:v>
      </x:c>
      <x:c r="J9" s="16" t="str">
        <x:v>pending</x:v>
      </x:c>
    </x:row>
    <x:row r="10" ht="26.399999618530273" hidden="0" customHeight="1">
      <x:c r="A10" s="18" t="n">
        <x:v>7</x:v>
      </x:c>
      <x:c r="B10" s="16" t="str">
        <x:v>candidate</x:v>
      </x:c>
      <x:c r="C10" s="17" t="str">
        <x:v>架构方案.md §6.2 L344</x:v>
      </x:c>
      <x:c r="D10" s="17" t="str">
        <x:v>至少提前3秒；实现需数据库时间与本地保守截止</x:v>
      </x:c>
      <x:c r="E10" s="16" t="str">
        <x:v>lease_safety_margin_sec</x:v>
      </x:c>
      <x:c r="F10" s="19" t="n">
        <x:v>3</x:v>
      </x:c>
      <x:c r="G10" s="16" t="str">
        <x:v>s</x:v>
      </x:c>
      <x:c r="H10" s="16" t="str">
        <x:v>失租前保守隔离</x:v>
      </x:c>
      <x:c r="I10" s="16" t="str">
        <x:v>adopt</x:v>
      </x:c>
      <x:c r="J10" s="16" t="str">
        <x:v>pending</x:v>
      </x:c>
    </x:row>
    <x:row r="11" ht="26.399999618530273" hidden="0" customHeight="1">
      <x:c r="A11" s="18" t="n">
        <x:v>8</x:v>
      </x:c>
      <x:c r="B11" s="16" t="str">
        <x:v>candidate</x:v>
      </x:c>
      <x:c r="C11" s="17" t="str">
        <x:v>架构方案.md §6.3 L357</x:v>
      </x:c>
      <x:c r="D11" s="17" t="str">
        <x:v>不能跨升级/权益/配置/交易顺序边界</x:v>
      </x:c>
      <x:c r="E11" s="16" t="str">
        <x:v>reward_batch_max_events</x:v>
      </x:c>
      <x:c r="F11" s="19" t="n">
        <x:v>32</x:v>
      </x:c>
      <x:c r="G11" s="16" t="str">
        <x:v>条</x:v>
      </x:c>
      <x:c r="H11" s="16" t="str">
        <x:v>普通奖励聚合</x:v>
      </x:c>
      <x:c r="I11" s="16" t="str">
        <x:v>adopt</x:v>
      </x:c>
      <x:c r="J11" s="16" t="str">
        <x:v>pending</x:v>
      </x:c>
    </x:row>
    <x:row r="12" ht="15" hidden="0" customHeight="1">
      <x:c r="A12" s="18" t="n">
        <x:v>9</x:v>
      </x:c>
      <x:c r="B12" s="16" t="str">
        <x:v>candidate</x:v>
      </x:c>
      <x:c r="C12" s="17" t="str">
        <x:v>架构方案.md §6.3 L357</x:v>
      </x:c>
      <x:c r="D12" s="17" t="str">
        <x:v>不得丢保底、限额或业务身份</x:v>
      </x:c>
      <x:c r="E12" s="16" t="str">
        <x:v>reward_batch_max_kib</x:v>
      </x:c>
      <x:c r="F12" s="19" t="n">
        <x:v>16</x:v>
      </x:c>
      <x:c r="G12" s="16" t="str">
        <x:v>KiB</x:v>
      </x:c>
      <x:c r="H12" s="16" t="str">
        <x:v>普通奖励聚合</x:v>
      </x:c>
      <x:c r="I12" s="16" t="str">
        <x:v>adopt</x:v>
      </x:c>
      <x:c r="J12" s="16" t="str">
        <x:v>pending</x:v>
      </x:c>
    </x:row>
    <x:row r="13" ht="15" hidden="0" customHeight="1">
      <x:c r="A13" s="18" t="n">
        <x:v>10</x:v>
      </x:c>
      <x:c r="B13" s="16" t="str">
        <x:v>candidate</x:v>
      </x:c>
      <x:c r="C13" s="17" t="str">
        <x:v>架构方案.md §6.3 L357</x:v>
      </x:c>
      <x:c r="D13" s="17" t="str">
        <x:v>只合并可验证等价连续事件</x:v>
      </x:c>
      <x:c r="E13" s="16" t="str">
        <x:v>reward_batch_wait_ms</x:v>
      </x:c>
      <x:c r="F13" s="19" t="n">
        <x:v>10</x:v>
      </x:c>
      <x:c r="G13" s="16" t="str">
        <x:v>ms</x:v>
      </x:c>
      <x:c r="H13" s="16" t="str">
        <x:v>普通奖励聚合</x:v>
      </x:c>
      <x:c r="I13" s="16" t="str">
        <x:v>adopt</x:v>
      </x:c>
      <x:c r="J13" s="16" t="str">
        <x:v>pending</x:v>
      </x:c>
    </x:row>
    <x:row r="14" ht="26.399999618530273" hidden="0" customHeight="1">
      <x:c r="A14" s="18" t="n">
        <x:v>11</x:v>
      </x:c>
      <x:c r="B14" s="16" t="str">
        <x:v>candidate</x:v>
      </x:c>
      <x:c r="C14" s="17" t="str">
        <x:v>架构方案.md §6.3 L357</x:v>
      </x:c>
      <x:c r="D14" s="17" t="str">
        <x:v>失败项有界拆分，未知原身份对账</x:v>
      </x:c>
      <x:c r="E14" s="16" t="str">
        <x:v>db_batch_max_operations</x:v>
      </x:c>
      <x:c r="F14" s="19" t="n">
        <x:v>32</x:v>
      </x:c>
      <x:c r="G14" s="16" t="str">
        <x:v>条</x:v>
      </x:c>
      <x:c r="H14" s="16" t="str">
        <x:v>数据库批</x:v>
      </x:c>
      <x:c r="I14" s="16" t="str">
        <x:v>adopt</x:v>
      </x:c>
      <x:c r="J14" s="16" t="str">
        <x:v>pending</x:v>
      </x:c>
    </x:row>
    <x:row r="15" ht="15" hidden="0" customHeight="1">
      <x:c r="A15" s="18" t="n">
        <x:v>12</x:v>
      </x:c>
      <x:c r="B15" s="16" t="str">
        <x:v>candidate</x:v>
      </x:c>
      <x:c r="C15" s="17" t="str">
        <x:v>架构方案.md §6.3 L357</x:v>
      </x:c>
      <x:c r="D15" s="17" t="str">
        <x:v>短事务预算</x:v>
      </x:c>
      <x:c r="E15" s="16" t="str">
        <x:v>db_batch_max_kib</x:v>
      </x:c>
      <x:c r="F15" s="19" t="n">
        <x:v>64</x:v>
      </x:c>
      <x:c r="G15" s="16" t="str">
        <x:v>KiB</x:v>
      </x:c>
      <x:c r="H15" s="16" t="str">
        <x:v>数据库批</x:v>
      </x:c>
      <x:c r="I15" s="16" t="str">
        <x:v>adopt</x:v>
      </x:c>
      <x:c r="J15" s="16" t="str">
        <x:v>pending</x:v>
      </x:c>
    </x:row>
    <x:row r="16" ht="15" hidden="0" customHeight="1">
      <x:c r="A16" s="18" t="n">
        <x:v>13</x:v>
      </x:c>
      <x:c r="B16" s="16" t="str">
        <x:v>candidate</x:v>
      </x:c>
      <x:c r="C16" s="17" t="str">
        <x:v>架构方案.md §6.3 L357</x:v>
      </x:c>
      <x:c r="D16" s="17" t="str">
        <x:v>不在事务里等队列</x:v>
      </x:c>
      <x:c r="E16" s="16" t="str">
        <x:v>db_batch_wait_ms</x:v>
      </x:c>
      <x:c r="F16" s="19" t="n">
        <x:v>10</x:v>
      </x:c>
      <x:c r="G16" s="16" t="str">
        <x:v>ms</x:v>
      </x:c>
      <x:c r="H16" s="16" t="str">
        <x:v>数据库批</x:v>
      </x:c>
      <x:c r="I16" s="16" t="str">
        <x:v>adopt</x:v>
      </x:c>
      <x:c r="J16" s="16" t="str">
        <x:v>pending</x:v>
      </x:c>
    </x:row>
    <x:row r="17" ht="15" hidden="0" customHeight="1">
      <x:c r="A17" s="18" t="n">
        <x:v>14</x:v>
      </x:c>
      <x:c r="B17" s="16" t="str">
        <x:v>candidate</x:v>
      </x:c>
      <x:c r="C17" s="17" t="str">
        <x:v>架构方案.md §6.3 L357</x:v>
      </x:c>
      <x:c r="D17" s="17" t="str">
        <x:v>同组串行、多run公平</x:v>
      </x:c>
      <x:c r="E17" s="16" t="str">
        <x:v>transactions_per_run</x:v>
      </x:c>
      <x:c r="F17" s="19" t="n">
        <x:v>8</x:v>
      </x:c>
      <x:c r="G17" s="16" t="str">
        <x:v>笔</x:v>
      </x:c>
      <x:c r="H17" s="16" t="str">
        <x:v>每run并发事务</x:v>
      </x:c>
      <x:c r="I17" s="16" t="str">
        <x:v>adopt</x:v>
      </x:c>
      <x:c r="J17" s="16" t="str">
        <x:v>pending</x:v>
      </x:c>
    </x:row>
    <x:row r="18" ht="15" hidden="0" customHeight="1">
      <x:c r="A18" s="18" t="n">
        <x:v>15</x:v>
      </x:c>
      <x:c r="B18" s="16" t="str">
        <x:v>candidate</x:v>
      </x:c>
      <x:c r="C18" s="17" t="str">
        <x:v>架构方案.md §6.3 L357</x:v>
      </x:c>
      <x:c r="D18" s="17" t="str">
        <x:v>与连接池上限分别控制</x:v>
      </x:c>
      <x:c r="E18" s="16" t="str">
        <x:v>transactions_per_node</x:v>
      </x:c>
      <x:c r="F18" s="19" t="n">
        <x:v>32</x:v>
      </x:c>
      <x:c r="G18" s="16" t="str">
        <x:v>笔</x:v>
      </x:c>
      <x:c r="H18" s="16" t="str">
        <x:v>每game并发事务</x:v>
      </x:c>
      <x:c r="I18" s="16" t="str">
        <x:v>adopt</x:v>
      </x:c>
      <x:c r="J18" s="16" t="str">
        <x:v>pending</x:v>
      </x:c>
    </x:row>
    <x:row r="19" ht="15" hidden="0" customHeight="1">
      <x:c r="A19" s="18" t="n">
        <x:v>16</x:v>
      </x:c>
      <x:c r="B19" s="16" t="str">
        <x:v>candidate</x:v>
      </x:c>
      <x:c r="C19" s="17" t="str">
        <x:v>架构方案.md §6.3 L357</x:v>
      </x:c>
      <x:c r="D19" s="17" t="str">
        <x:v>同时受字节上限限制</x:v>
      </x:c>
      <x:c r="E19" s="16" t="str">
        <x:v>run_queue_operations</x:v>
      </x:c>
      <x:c r="F19" s="19" t="n">
        <x:v>2048</x:v>
      </x:c>
      <x:c r="G19" s="16" t="str">
        <x:v>笔</x:v>
      </x:c>
      <x:c r="H19" s="16" t="str">
        <x:v>每run待提交上限</x:v>
      </x:c>
      <x:c r="I19" s="16" t="str">
        <x:v>adopt</x:v>
      </x:c>
      <x:c r="J19" s="16" t="str">
        <x:v>pending</x:v>
      </x:c>
    </x:row>
    <x:row r="20" ht="15" hidden="0" customHeight="1">
      <x:c r="A20" s="18" t="n">
        <x:v>17</x:v>
      </x:c>
      <x:c r="B20" s="16" t="str">
        <x:v>candidate</x:v>
      </x:c>
      <x:c r="C20" s="17" t="str">
        <x:v>架构方案.md §6.3 L357</x:v>
      </x:c>
      <x:c r="D20" s="17" t="str">
        <x:v>不是永久库存容量</x:v>
      </x:c>
      <x:c r="E20" s="16" t="str">
        <x:v>run_queue_mib</x:v>
      </x:c>
      <x:c r="F20" s="19" t="n">
        <x:v>8</x:v>
      </x:c>
      <x:c r="G20" s="16" t="str">
        <x:v>MiB</x:v>
      </x:c>
      <x:c r="H20" s="16" t="str">
        <x:v>每run待提交字节</x:v>
      </x:c>
      <x:c r="I20" s="16" t="str">
        <x:v>adopt</x:v>
      </x:c>
      <x:c r="J20" s="16" t="str">
        <x:v>pending</x:v>
      </x:c>
    </x:row>
    <x:row r="21" ht="26.399999618530273" hidden="0" customHeight="1">
      <x:c r="A21" s="18" t="n">
        <x:v>18</x:v>
      </x:c>
      <x:c r="B21" s="16" t="str">
        <x:v>candidate</x:v>
      </x:c>
      <x:c r="C21" s="17" t="str">
        <x:v>架构方案.md §6.3 L357</x:v>
      </x:c>
      <x:c r="D21" s="17" t="str">
        <x:v>跨组需一次性申请完整组集</x:v>
      </x:c>
      <x:c r="E21" s="16" t="str">
        <x:v>db_group_queue_operations</x:v>
      </x:c>
      <x:c r="F21" s="19" t="n">
        <x:v>128</x:v>
      </x:c>
      <x:c r="G21" s="16" t="str">
        <x:v>笔</x:v>
      </x:c>
      <x:c r="H21" s="16" t="str">
        <x:v>每DB组排队上限</x:v>
      </x:c>
      <x:c r="I21" s="16" t="str">
        <x:v>adopt</x:v>
      </x:c>
      <x:c r="J21" s="16" t="str">
        <x:v>pending</x:v>
      </x:c>
    </x:row>
    <x:row r="22" ht="15" hidden="0" customHeight="1">
      <x:c r="A22" s="18" t="n">
        <x:v>19</x:v>
      </x:c>
      <x:c r="B22" s="16" t="str">
        <x:v>candidate</x:v>
      </x:c>
      <x:c r="C22" s="17" t="str">
        <x:v>架构方案.md §6.3 L357</x:v>
      </x:c>
      <x:c r="D22" s="17" t="str">
        <x:v>达到配额有界拒绝</x:v>
      </x:c>
      <x:c r="E22" s="16" t="str">
        <x:v>db_group_queue_mib</x:v>
      </x:c>
      <x:c r="F22" s="19" t="n">
        <x:v>1</x:v>
      </x:c>
      <x:c r="G22" s="16" t="str">
        <x:v>MiB</x:v>
      </x:c>
      <x:c r="H22" s="16" t="str">
        <x:v>每DB组排队字节</x:v>
      </x:c>
      <x:c r="I22" s="16" t="str">
        <x:v>adopt</x:v>
      </x:c>
      <x:c r="J22" s="16" t="str">
        <x:v>pending</x:v>
      </x:c>
    </x:row>
    <x:row r="23" ht="26.399999618530273" hidden="0" customHeight="1">
      <x:c r="A23" s="18" t="n">
        <x:v>20</x:v>
      </x:c>
      <x:c r="B23" s="16" t="str">
        <x:v>candidate</x:v>
      </x:c>
      <x:c r="C23" s="17" t="str">
        <x:v>架构方案.md §6.3 L357</x:v>
      </x:c>
      <x:c r="D23" s="17" t="str">
        <x:v>提交未知不能用超时直接退款</x:v>
      </x:c>
      <x:c r="E23" s="16" t="str">
        <x:v>transaction_deadline_sec</x:v>
      </x:c>
      <x:c r="F23" s="19" t="n">
        <x:v>3</x:v>
      </x:c>
      <x:c r="G23" s="16" t="str">
        <x:v>s</x:v>
      </x:c>
      <x:c r="H23" s="16" t="str">
        <x:v>初始事务目标截止</x:v>
      </x:c>
      <x:c r="I23" s="16" t="str">
        <x:v>adopt</x:v>
      </x:c>
      <x:c r="J23" s="16" t="str">
        <x:v>pending</x:v>
      </x:c>
    </x:row>
    <x:row r="24" ht="26.399999618530273" hidden="0" customHeight="1">
      <x:c r="A24" s="18" t="n">
        <x:v>21</x:v>
      </x:c>
      <x:c r="B24" s="16" t="str">
        <x:v>candidate</x:v>
      </x:c>
      <x:c r="C24" s="17" t="str">
        <x:v>架构方案.md §8.1 L426</x:v>
      </x:c>
      <x:c r="D24" s="17" t="str">
        <x:v>大型基线分块</x:v>
      </x:c>
      <x:c r="E24" s="16" t="str">
        <x:v>protocol_default_frame_kib</x:v>
      </x:c>
      <x:c r="F24" s="19" t="n">
        <x:v>64</x:v>
      </x:c>
      <x:c r="G24" s="16" t="str">
        <x:v>KiB</x:v>
      </x:c>
      <x:c r="H24" s="16" t="str">
        <x:v>默认应用帧</x:v>
      </x:c>
      <x:c r="I24" s="16" t="str">
        <x:v>adopt</x:v>
      </x:c>
      <x:c r="J24" s="16" t="str">
        <x:v>pending</x:v>
      </x:c>
    </x:row>
    <x:row r="25" ht="26.399999618530273" hidden="0" customHeight="1">
      <x:c r="A25" s="18" t="n">
        <x:v>22</x:v>
      </x:c>
      <x:c r="B25" s="16" t="str">
        <x:v>candidate</x:v>
      </x:c>
      <x:c r="C25" s="17" t="str">
        <x:v>架构方案.md §8.1 L426</x:v>
      </x:c>
      <x:c r="D25" s="17" t="str">
        <x:v>分配前检查总长/解压预算</x:v>
      </x:c>
      <x:c r="E25" s="16" t="str">
        <x:v>protocol_absolute_frame_kib</x:v>
      </x:c>
      <x:c r="F25" s="19" t="n">
        <x:v>256</x:v>
      </x:c>
      <x:c r="G25" s="16" t="str">
        <x:v>KiB</x:v>
      </x:c>
      <x:c r="H25" s="16" t="str">
        <x:v>应用帧绝对上限</x:v>
      </x:c>
      <x:c r="I25" s="16" t="str">
        <x:v>adopt</x:v>
      </x:c>
      <x:c r="J25" s="16" t="str">
        <x:v>pending</x:v>
      </x:c>
    </x:row>
    <x:row r="26" ht="26.399999618530273" hidden="0" customHeight="1">
      <x:c r="A26" s="18" t="n">
        <x:v>23</x:v>
      </x:c>
      <x:c r="B26" s="16" t="str">
        <x:v>candidate</x:v>
      </x:c>
      <x:c r="C26" s="17" t="str">
        <x:v>架构方案.md §8.1 L426</x:v>
      </x:c>
      <x:c r="D26" s="17" t="str">
        <x:v>未识别版本/flags拒绝</x:v>
      </x:c>
      <x:c r="E26" s="16" t="str">
        <x:v>protocol_length_prefix_max_bytes</x:v>
      </x:c>
      <x:c r="F26" s="19" t="n">
        <x:v>5</x:v>
      </x:c>
      <x:c r="G26" s="16" t="str">
        <x:v>byte</x:v>
      </x:c>
      <x:c r="H26" s="16" t="str">
        <x:v>uvarint32长度前缀</x:v>
      </x:c>
      <x:c r="I26" s="16" t="str">
        <x:v>adopt</x:v>
      </x:c>
      <x:c r="J26" s="16" t="str">
        <x:v>pending</x:v>
      </x:c>
    </x:row>
    <x:row r="27" ht="26.399999618530273" hidden="0" customHeight="1">
      <x:c r="A27" s="18" t="n">
        <x:v>24</x:v>
      </x:c>
      <x:c r="B27" s="16" t="str">
        <x:v>candidate</x:v>
      </x:c>
      <x:c r="C27" s="17" t="str">
        <x:v>架构方案.md §19.1 L1021</x:v>
      </x:c>
      <x:c r="D27" s="17" t="str">
        <x:v>候选配额，完成/隔离通道需保留</x:v>
      </x:c>
      <x:c r="E27" s="16" t="str">
        <x:v>role_mailbox_commands</x:v>
      </x:c>
      <x:c r="F27" s="19" t="n">
        <x:v>128</x:v>
      </x:c>
      <x:c r="G27" s="16" t="str">
        <x:v>条</x:v>
      </x:c>
      <x:c r="H27" s="16" t="str">
        <x:v>角色命令邮箱</x:v>
      </x:c>
      <x:c r="I27" s="16" t="str">
        <x:v>adopt</x:v>
      </x:c>
      <x:c r="J27" s="16" t="str">
        <x:v>pending</x:v>
      </x:c>
    </x:row>
    <x:row r="28" ht="15" hidden="0" customHeight="1">
      <x:c r="A28" s="18" t="n">
        <x:v>25</x:v>
      </x:c>
      <x:c r="B28" s="16" t="str">
        <x:v>candidate</x:v>
      </x:c>
      <x:c r="C28" s="17" t="str">
        <x:v>架构方案.md §19.1 L1021</x:v>
      </x:c>
      <x:c r="D28" s="17" t="str">
        <x:v>数量和字节共同限制</x:v>
      </x:c>
      <x:c r="E28" s="16" t="str">
        <x:v>role_mailbox_kib</x:v>
      </x:c>
      <x:c r="F28" s="19" t="n">
        <x:v>128</x:v>
      </x:c>
      <x:c r="G28" s="16" t="str">
        <x:v>KiB</x:v>
      </x:c>
      <x:c r="H28" s="16" t="str">
        <x:v>角色命令邮箱</x:v>
      </x:c>
      <x:c r="I28" s="16" t="str">
        <x:v>adopt</x:v>
      </x:c>
      <x:c r="J28" s="16" t="str">
        <x:v>pending</x:v>
      </x:c>
    </x:row>
    <x:row r="29" ht="26.399999618530273" hidden="0" customHeight="1">
      <x:c r="A29" s="18" t="n">
        <x:v>26</x:v>
      </x:c>
      <x:c r="B29" s="16" t="str">
        <x:v>candidate</x:v>
      </x:c>
      <x:c r="C29" s="17" t="str">
        <x:v>架构方案.md §19.1 L1021</x:v>
      </x:c>
      <x:c r="D29" s="17" t="str">
        <x:v>不能饿死内部控制</x:v>
      </x:c>
      <x:c r="E29" s="16" t="str">
        <x:v>worker_mailbox_commands</x:v>
      </x:c>
      <x:c r="F29" s="19" t="n">
        <x:v>8192</x:v>
      </x:c>
      <x:c r="G29" s="16" t="str">
        <x:v>条</x:v>
      </x:c>
      <x:c r="H29" s="16" t="str">
        <x:v>每worker命令邮箱</x:v>
      </x:c>
      <x:c r="I29" s="16" t="str">
        <x:v>adopt</x:v>
      </x:c>
      <x:c r="J29" s="16" t="str">
        <x:v>pending</x:v>
      </x:c>
    </x:row>
    <x:row r="30" ht="15" hidden="0" customHeight="1">
      <x:c r="A30" s="18" t="n">
        <x:v>27</x:v>
      </x:c>
      <x:c r="B30" s="16" t="str">
        <x:v>candidate</x:v>
      </x:c>
      <x:c r="C30" s="17" t="str">
        <x:v>架构方案.md §19.1 L1021</x:v>
      </x:c>
      <x:c r="D30" s="17" t="str">
        <x:v>同时验证等待年龄</x:v>
      </x:c>
      <x:c r="E30" s="16" t="str">
        <x:v>worker_mailbox_mib</x:v>
      </x:c>
      <x:c r="F30" s="19" t="n">
        <x:v>8</x:v>
      </x:c>
      <x:c r="G30" s="16" t="str">
        <x:v>MiB</x:v>
      </x:c>
      <x:c r="H30" s="16" t="str">
        <x:v>每worker命令邮箱</x:v>
      </x:c>
      <x:c r="I30" s="16" t="str">
        <x:v>adopt</x:v>
      </x:c>
      <x:c r="J30" s="16" t="str">
        <x:v>pending</x:v>
      </x:c>
    </x:row>
    <x:row r="31" ht="26.399999618530273" hidden="0" customHeight="1">
      <x:c r="A31" s="18" t="n">
        <x:v>28</x:v>
      </x:c>
      <x:c r="B31" s="16" t="str">
        <x:v>candidate</x:v>
      </x:c>
      <x:c r="C31" s="17" t="str">
        <x:v>架构方案.md §19.1 L1017</x:v>
      </x:c>
      <x:c r="D31" s="17" t="str">
        <x:v>性能目标未测；不强加普通实例固定tick</x:v>
      </x:c>
      <x:c r="E31" s="16" t="str">
        <x:v>line_tick_p99_target_ms</x:v>
      </x:c>
      <x:c r="F31" s="19" t="n">
        <x:v>25</x:v>
      </x:c>
      <x:c r="G31" s="16" t="str">
        <x:v>ms</x:v>
      </x:c>
      <x:c r="H31" s="16" t="str">
        <x:v>候选多人模拟p99</x:v>
      </x:c>
      <x:c r="I31" s="16" t="str">
        <x:v>adopt</x:v>
      </x:c>
      <x:c r="J31" s="16" t="str">
        <x:v>pending</x:v>
      </x:c>
    </x:row>
    <x:row r="32" ht="26.399999618530273" hidden="0" customHeight="1">
      <x:c r="A32" s="18" t="n">
        <x:v>29</x:v>
      </x:c>
      <x:c r="B32" s="16" t="str">
        <x:v>candidate</x:v>
      </x:c>
      <x:c r="C32" s="17" t="str">
        <x:v>架构方案.md §19.1 L1018</x:v>
      </x:c>
      <x:c r="D32" s="17" t="str">
        <x:v>不是全网RTT保证</x:v>
      </x:c>
      <x:c r="E32" s="16" t="str">
        <x:v>command_queue_p99_target_ms</x:v>
      </x:c>
      <x:c r="F32" s="19" t="n">
        <x:v>100</x:v>
      </x:c>
      <x:c r="G32" s="16" t="str">
        <x:v>ms</x:v>
      </x:c>
      <x:c r="H32" s="16" t="str">
        <x:v>服务端命令排队目标</x:v>
      </x:c>
      <x:c r="I32" s="16" t="str">
        <x:v>adopt</x:v>
      </x:c>
      <x:c r="J32" s="16" t="str">
        <x:v>pending</x:v>
      </x:c>
    </x:row>
    <x:row r="33" ht="26.399999618530273" hidden="0" customHeight="1">
      <x:c r="A33" s="18" t="n">
        <x:v>30</x:v>
      </x:c>
      <x:c r="B33" s="16" t="str">
        <x:v>candidate</x:v>
      </x:c>
      <x:c r="C33" s="17" t="str">
        <x:v>架构方案.md §19.1 L1019</x:v>
      </x:c>
      <x:c r="D33" s="17" t="str">
        <x:v>排队/DB/回执分别计量</x:v>
      </x:c>
      <x:c r="E33" s="16" t="str">
        <x:v>permanent_operation_p99_target_ms</x:v>
      </x:c>
      <x:c r="F33" s="19" t="n">
        <x:v>500</x:v>
      </x:c>
      <x:c r="G33" s="16" t="str">
        <x:v>ms</x:v>
      </x:c>
      <x:c r="H33" s="16" t="str">
        <x:v>永久操作端到端目标</x:v>
      </x:c>
      <x:c r="I33" s="16" t="str">
        <x:v>adopt</x:v>
      </x:c>
      <x:c r="J33" s="16" t="str">
        <x:v>pending</x:v>
      </x:c>
    </x:row>
    <x:row r="34" ht="26.399999618530273" hidden="0" customHeight="1">
      <x:c r="A34" s="18" t="n">
        <x:v>31</x:v>
      </x:c>
      <x:c r="B34" s="16" t="str">
        <x:v>candidate</x:v>
      </x:c>
      <x:c r="C34" s="17" t="str">
        <x:v>架构方案.md §19.1 L1016；最终策划案.md §10.3 L1260</x:v>
      </x:c>
      <x:c r="D34" s="17" t="str">
        <x:v>容量待压测，不是当前承载</x:v>
      </x:c>
      <x:c r="E34" s="16" t="str">
        <x:v>load_target_active_roles_per_run</x:v>
      </x:c>
      <x:c r="F34" s="19" t="n">
        <x:v>3000</x:v>
      </x:c>
      <x:c r="G34" s="16" t="str">
        <x:v>角色</x:v>
      </x:c>
      <x:c r="H34" s="16" t="str">
        <x:v>ONLINE+托管混合负载目标</x:v>
      </x:c>
      <x:c r="I34" s="16" t="str">
        <x:v>adopt</x:v>
      </x:c>
      <x:c r="J34" s="16" t="str">
        <x:v>pending</x:v>
      </x:c>
    </x:row>
    <x:row r="35" ht="26.399999618530273" hidden="0" customHeight="1">
      <x:c r="A35" s="18" t="n">
        <x:v>32</x:v>
      </x:c>
      <x:c r="B35" s="16" t="str">
        <x:v>candidate</x:v>
      </x:c>
      <x:c r="C35" s="17" t="str">
        <x:v>架构方案.md §19.1 L1015</x:v>
      </x:c>
      <x:c r="D35" s="17" t="str">
        <x:v>普通个人地图不使用公共人数配置</x:v>
      </x:c>
      <x:c r="E35" s="16" t="str">
        <x:v>public_scene_load_step_low</x:v>
      </x:c>
      <x:c r="F35" s="19" t="n">
        <x:v>100</x:v>
      </x:c>
      <x:c r="G35" s="16" t="str">
        <x:v>角色</x:v>
      </x:c>
      <x:c r="H35" s="16" t="str">
        <x:v>多人公共场景实验步阶</x:v>
      </x:c>
      <x:c r="I35" s="16" t="str">
        <x:v>adopt</x:v>
      </x:c>
      <x:c r="J35" s="16" t="str">
        <x:v>pending</x:v>
      </x:c>
    </x:row>
    <x:row r="36" ht="26.399999618530273" hidden="0" customHeight="1">
      <x:c r="A36" s="18" t="n">
        <x:v>33</x:v>
      </x:c>
      <x:c r="B36" s="16" t="str">
        <x:v>candidate</x:v>
      </x:c>
      <x:c r="C36" s="17" t="str">
        <x:v>架构方案.md §19.1 L1015</x:v>
      </x:c>
      <x:c r="D36" s="17" t="str">
        <x:v>先基于玩法许可与实际广播预算</x:v>
      </x:c>
      <x:c r="E36" s="16" t="str">
        <x:v>public_scene_load_step_mid</x:v>
      </x:c>
      <x:c r="F36" s="19" t="n">
        <x:v>300</x:v>
      </x:c>
      <x:c r="G36" s="16" t="str">
        <x:v>角色</x:v>
      </x:c>
      <x:c r="H36" s="16" t="str">
        <x:v>多人公共场景实验步阶</x:v>
      </x:c>
      <x:c r="I36" s="16" t="str">
        <x:v>adopt</x:v>
      </x:c>
      <x:c r="J36" s="16" t="str">
        <x:v>pending</x:v>
      </x:c>
    </x:row>
    <x:row r="37" ht="26.399999618530273" hidden="0" customHeight="1">
      <x:c r="A37" s="18" t="n">
        <x:v>34</x:v>
      </x:c>
      <x:c r="B37" s="16" t="str">
        <x:v>candidate</x:v>
      </x:c>
      <x:c r="C37" s="17" t="str">
        <x:v>架构方案.md §19.1 L1015</x:v>
      </x:c>
      <x:c r="D37" s="17" t="str">
        <x:v>不承诺500全同屏</x:v>
      </x:c>
      <x:c r="E37" s="16" t="str">
        <x:v>public_scene_load_step_high</x:v>
      </x:c>
      <x:c r="F37" s="19" t="n">
        <x:v>500</x:v>
      </x:c>
      <x:c r="G37" s="16" t="str">
        <x:v>角色</x:v>
      </x:c>
      <x:c r="H37" s="16" t="str">
        <x:v>多人公共场景分散实体试验</x:v>
      </x:c>
      <x:c r="I37" s="16" t="str">
        <x:v>adopt</x:v>
      </x:c>
      <x:c r="J37" s="16" t="str">
        <x:v>pending</x:v>
      </x:c>
    </x:row>
    <x:row r="38" ht="15" hidden="0" customHeight="1">
      <x:c r="A38" s="18" t="n">
        <x:v>35</x:v>
      </x:c>
      <x:c r="B38" s="16" t="str">
        <x:v>candidate</x:v>
      </x:c>
      <x:c r="C38" s="17" t="str">
        <x:v>架构方案.md §19.1 L1011</x:v>
      </x:c>
      <x:c r="D38" s="17" t="str">
        <x:v>Mongo/机器人/指标机独立</x:v>
      </x:c>
      <x:c r="E38" s="16" t="str">
        <x:v>load_test_cpu_cores</x:v>
      </x:c>
      <x:c r="F38" s="19" t="n">
        <x:v>8</x:v>
      </x:c>
      <x:c r="G38" s="16" t="str">
        <x:v>专用核</x:v>
      </x:c>
      <x:c r="H38" s="16" t="str">
        <x:v>首轮game实验机</x:v>
      </x:c>
      <x:c r="I38" s="16" t="str">
        <x:v>adopt</x:v>
      </x:c>
      <x:c r="J38" s="16" t="str">
        <x:v>pending</x:v>
      </x:c>
    </x:row>
    <x:row r="39" ht="15" hidden="0" customHeight="1">
      <x:c r="A39" s="18" t="n">
        <x:v>36</x:v>
      </x:c>
      <x:c r="B39" s="16" t="str">
        <x:v>candidate</x:v>
      </x:c>
      <x:c r="C39" s="17" t="str">
        <x:v>架构方案.md §19.1 L1011</x:v>
      </x:c>
      <x:c r="D39" s="17" t="str">
        <x:v>仅可复现实验起点</x:v>
      </x:c>
      <x:c r="E39" s="16" t="str">
        <x:v>load_test_memory_gib</x:v>
      </x:c>
      <x:c r="F39" s="19" t="n">
        <x:v>16</x:v>
      </x:c>
      <x:c r="G39" s="16" t="str">
        <x:v>GiB</x:v>
      </x:c>
      <x:c r="H39" s="16" t="str">
        <x:v>首轮game实验机</x:v>
      </x:c>
      <x:c r="I39" s="16" t="str">
        <x:v>adopt</x:v>
      </x:c>
      <x:c r="J39" s="16" t="str">
        <x:v>pending</x:v>
      </x:c>
    </x:row>
    <x:row r="40" ht="26.399999618530273" hidden="0" customHeight="1">
      <x:c r="A40" s="18" t="n">
        <x:v>37</x:v>
      </x:c>
      <x:c r="B40" s="16" t="str">
        <x:v>candidate</x:v>
      </x:c>
      <x:c r="C40" s="17" t="str">
        <x:v>架构方案.md §19.1 L1024</x:v>
      </x:c>
      <x:c r="D40" s="17" t="str">
        <x:v>混合角色轮换和跨档归档，未执行</x:v>
      </x:c>
      <x:c r="E40" s="16" t="str">
        <x:v>soak_test_duration_hours</x:v>
      </x:c>
      <x:c r="F40" s="19" t="n">
        <x:v>48</x:v>
      </x:c>
      <x:c r="G40" s="16" t="str">
        <x:v>h</x:v>
      </x:c>
      <x:c r="H40" s="16" t="str">
        <x:v>候选长稳最短时长</x:v>
      </x:c>
      <x:c r="I40" s="16" t="str">
        <x:v>adopt</x:v>
      </x:c>
      <x:c r="J40" s="16" t="str">
        <x:v>pending</x:v>
      </x:c>
    </x:row>
    <x:row r="41" ht="26.399999618530273" hidden="0" customHeight="1">
      <x:c r="A41" s="18" t="n">
        <x:v>38</x:v>
      </x:c>
      <x:c r="B41" s="16" t="str">
        <x:v>candidate</x:v>
      </x:c>
      <x:c r="C41" s="17" t="str">
        <x:v>架构方案.md §19.2 L1043</x:v>
      </x:c>
      <x:c r="D41" s="17" t="str">
        <x:v>每客户端对每Mongo服务端；另计监控连接</x:v>
      </x:c>
      <x:c r="E41" s="16" t="str">
        <x:v>business_mongo_pool_size</x:v>
      </x:c>
      <x:c r="F41" s="19" t="n">
        <x:v>64</x:v>
      </x:c>
      <x:c r="G41" s="16" t="str">
        <x:v>连接/服务端</x:v>
      </x:c>
      <x:c r="H41" s="16" t="str">
        <x:v>业务Mongo客户端池</x:v>
      </x:c>
      <x:c r="I41" s="16" t="str">
        <x:v>adopt</x:v>
      </x:c>
      <x:c r="J41" s="16" t="str">
        <x:v>pending</x:v>
      </x:c>
    </x:row>
    <x:row r="42" ht="26.399999618530273" hidden="0" customHeight="1">
      <x:c r="A42" s="18" t="n">
        <x:v>39</x:v>
      </x:c>
      <x:c r="B42" s="16" t="str">
        <x:v>candidate</x:v>
      </x:c>
      <x:c r="C42" s="17" t="str">
        <x:v>架构方案.md §19.2 L1043</x:v>
      </x:c>
      <x:c r="D42" s="17" t="str">
        <x:v>不能被业务队列阻塞</x:v>
      </x:c>
      <x:c r="E42" s="16" t="str">
        <x:v>control_mongo_pool_size</x:v>
      </x:c>
      <x:c r="F42" s="19" t="n">
        <x:v>8</x:v>
      </x:c>
      <x:c r="G42" s="16" t="str">
        <x:v>连接/服务端</x:v>
      </x:c>
      <x:c r="H42" s="16" t="str">
        <x:v>续租控制独立池</x:v>
      </x:c>
      <x:c r="I42" s="16" t="str">
        <x:v>adopt</x:v>
      </x:c>
      <x:c r="J42" s="16" t="str">
        <x:v>pending</x:v>
      </x:c>
    </x:row>
    <x:row r="43" ht="26.399999618530273" hidden="0" customHeight="1">
      <x:c r="A43" s="18">
        <x:v>40</x:v>
      </x:c>
      <x:c r="B43" s="16" t="inlineStr">
        <x:is>
          <x:t xml:space="preserve">candidate</x:t>
        </x:is>
      </x:c>
      <x:c r="C43" s="17" t="inlineStr">
        <x:is>
          <x:t xml:space="preserve">本任务rule16技术候选；docs/职业宠物生命周期与召唤实施边界.md</x:t>
        </x:is>
      </x:c>
      <x:c r="D43" s="17" t="inlineStr">
        <x:is>
          <x:t xml:space="preserve">包括同owner全部World的活动宠、尸体及待新生reservation；满额只拒新生不拒死亡，不丢弃未过期原尸体。101仅180s/1800ms典型源路径估计，不证明通用上界或整机容量。</x:t>
        </x:is>
      </x:c>
      <x:c r="E43" s="16" t="inlineStr">
        <x:is>
          <x:t xml:space="preserve">retained_pet_body_capacity_per_owner</x:t>
        </x:is>
      </x:c>
      <x:c r="F43" s="19">
        <x:v>128</x:v>
      </x:c>
      <x:c r="G43" s="16" t="inlineStr">
        <x:is>
          <x:t xml:space="preserve">身体/owner</x:t>
        </x:is>
      </x:c>
      <x:c r="H43" s="16" t="inlineStr">
        <x:is>
          <x:t xml:space="preserve">同owner全部保留World的宠物身体与新生预留</x:t>
        </x:is>
      </x:c>
      <x:c r="I43" s="16" t="inlineStr">
        <x:is>
          <x:t xml:space="preserve">adapt</x:t>
        </x:is>
      </x:c>
      <x:c r="J43" s="16" t="inlineStr">
        <x:is>
          <x:t xml:space="preserve">pending</x:t>
        </x:is>
      </x:c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containsText" dxfId="12" priority="2" operator="containsText" text="candidate"/>
    <x:cfRule type="containsText" dxfId="13" priority="3" operator="containsText" text="unverified"/>
    <x:cfRule type="containsText" dxfId="14" priority="4" operator="containsText" text="historical"/>
  </x:conditionalFormatting>
  <x:conditionalFormatting sqref="D4:D1003">
    <x:cfRule type="expression" dxfId="15" priority="5">
      <x:formula>AND($A4&lt;&gt;"",ISBLANK(D4))</x:formula>
    </x:cfRule>
  </x:conditionalFormatting>
  <x:conditionalFormatting sqref="E4:E1003">
    <x:cfRule type="expression" dxfId="16" priority="6">
      <x:formula>AND($A4&lt;&gt;"",ISBLANK(E4))</x:formula>
    </x:cfRule>
  </x:conditionalFormatting>
  <x:conditionalFormatting sqref="F4:F1003">
    <x:cfRule type="expression" dxfId="17" priority="7">
      <x:formula>AND($A4&lt;&gt;"",ISBLANK(F4))</x:formula>
    </x:cfRule>
  </x:conditionalFormatting>
  <x:conditionalFormatting sqref="G4:G1003">
    <x:cfRule type="expression" dxfId="18" priority="8">
      <x:formula>AND($A4&lt;&gt;"",ISBLANK(G4))</x:formula>
    </x:cfRule>
  </x:conditionalFormatting>
  <x:conditionalFormatting sqref="H4:H1003">
    <x:cfRule type="expression" dxfId="19" priority="9">
      <x:formula>AND($A4&lt;&gt;"",ISBLANK(H4))</x:formula>
    </x:cfRule>
  </x:conditionalFormatting>
  <x:conditionalFormatting sqref="I4:I1003">
    <x:cfRule type="expression" dxfId="20" priority="10">
      <x:formula>AND($A4&lt;&gt;"",ISBLANK(I4))</x:formula>
    </x:cfRule>
  </x:conditionalFormatting>
  <x:conditionalFormatting sqref="J4:J1003">
    <x:cfRule type="expression" dxfId="21" priority="11">
      <x:formula>AND($A4&lt;&gt;"",ISBLANK(J4))</x:formula>
    </x:cfRule>
  </x:conditionalFormatting>
  <x:dataValidations count="3">
    <x:dataValidation type="list" sqref="B4:B1003">
      <x:formula1>"confirmed,candidate,unverified,historical"</x:formula1>
    </x:dataValidation>
    <x:dataValidation type="list" sqref="I4:I1003">
      <x:formula1>"adopt,adapt,defer"</x:formula1>
    </x:dataValidation>
    <x:dataValidation type="list" sqref="J4:J1003">
      <x:formula1>"pending"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54" hidden="0" customWidth="1"/>
    <x:col min="10" max="10" width="23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契约代码</x:v>
      </x:c>
      <x:c r="F1" s="7" t="str">
        <x:v>固定组数</x:v>
      </x:c>
      <x:c r="G1" s="7" t="str">
        <x:v>分组算法</x:v>
      </x:c>
      <x:c r="H1" s="7" t="str">
        <x:v>分组输入</x:v>
      </x:c>
      <x:c r="I1" s="7" t="str">
        <x:v>保护字段</x:v>
      </x:c>
      <x:c r="J1" s="7" t="str">
        <x:v>实现状态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guard_group_count</x:v>
      </x:c>
      <x:c r="G2" s="11" t="str">
        <x:v>hash_algorithm</x:v>
      </x:c>
      <x:c r="H2" s="11" t="str">
        <x:v>group_key</x:v>
      </x:c>
      <x:c r="I2" s="11" t="str">
        <x:v>protected_fields</x:v>
      </x:c>
      <x:c r="J2" s="11" t="str">
        <x:v>implementation_status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int / 必填 / server</x:v>
      </x:c>
      <x:c r="G3" s="14" t="str">
        <x:v>string / 必填 / server</x:v>
      </x:c>
      <x:c r="H3" s="14" t="str">
        <x:v>string / 必填 / server</x:v>
      </x:c>
      <x:c r="I3" s="14" t="str">
        <x:v>json / 必填 / server</x:v>
      </x:c>
      <x:c r="J3" s="14" t="str">
        <x:v>string / 必填 / none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架构方案.md §6.2 L334–340；最终策划案.md §7.5 L1123</x:v>
      </x:c>
      <x:c r="D4" s="17" t="str">
        <x:v>技术参考采用；每事务实际写guard，控制发布改全部相关组；数量/算法不热更，需实现与故障验收</x:v>
      </x:c>
      <x:c r="E4" s="16" t="str">
        <x:v>account_guard_groups</x:v>
      </x:c>
      <x:c r="F4" s="15" t="n">
        <x:v>32</x:v>
      </x:c>
      <x:c r="G4" s="16" t="str">
        <x:v>sha256_first_u64_big_endian_mod_32</x:v>
      </x:c>
      <x:c r="H4" s="16" t="str">
        <x:v>account_id_raw_16_bytes</x:v>
      </x:c>
      <x:c r="I4" s="16" t="str">
        <x:v>["owner_instance","run_epoch","control_version","seq"]</x:v>
      </x:c>
      <x:c r="J4" s="16" t="str">
        <x:v>not_implemented</x:v>
      </x:c>
    </x:row>
    <x:row r="5" ht="15" hidden="0" customHeight="1">
      <x:c r="A5" s="18"/>
      <x:c r="B5" s="16"/>
      <x:c r="C5" s="17"/>
      <x:c r="D5" s="17"/>
      <x:c r="E5" s="16"/>
      <x:c r="F5" s="15"/>
      <x:c r="G5" s="16"/>
      <x:c r="H5" s="16"/>
      <x:c r="I5" s="16"/>
      <x:c r="J5" s="16"/>
    </x:row>
    <x:row r="6" ht="15" hidden="0" customHeight="1">
      <x:c r="A6" s="18"/>
      <x:c r="B6" s="16"/>
      <x:c r="C6" s="17"/>
      <x:c r="D6" s="17"/>
      <x:c r="E6" s="16"/>
      <x:c r="F6" s="15"/>
      <x:c r="G6" s="16"/>
      <x:c r="H6" s="16"/>
      <x:c r="I6" s="16"/>
      <x:c r="J6" s="16"/>
    </x:row>
    <x:row r="7" ht="15" hidden="0" customHeight="1">
      <x:c r="A7" s="18"/>
      <x:c r="B7" s="16"/>
      <x:c r="C7" s="17"/>
      <x:c r="D7" s="17"/>
      <x:c r="E7" s="16"/>
      <x:c r="F7" s="15"/>
      <x:c r="G7" s="16"/>
      <x:c r="H7" s="16"/>
      <x:c r="I7" s="16"/>
      <x:c r="J7" s="16"/>
    </x:row>
    <x:row r="8" ht="15" hidden="0" customHeight="1">
      <x:c r="A8" s="18"/>
      <x:c r="B8" s="16"/>
      <x:c r="C8" s="17"/>
      <x:c r="D8" s="17"/>
      <x:c r="E8" s="16"/>
      <x:c r="F8" s="15"/>
      <x:c r="G8" s="16"/>
      <x:c r="H8" s="16"/>
      <x:c r="I8" s="16"/>
      <x:c r="J8" s="16"/>
    </x:row>
    <x:row r="9" ht="15" hidden="0" customHeight="1">
      <x:c r="A9" s="18"/>
      <x:c r="B9" s="16"/>
      <x:c r="C9" s="17"/>
      <x:c r="D9" s="17"/>
      <x:c r="E9" s="16"/>
      <x:c r="F9" s="15"/>
      <x:c r="G9" s="16"/>
      <x:c r="H9" s="16"/>
      <x:c r="I9" s="16"/>
      <x:c r="J9" s="16"/>
    </x:row>
  </x:sheetData>
  <x:conditionalFormatting sqref="A4:A1003">
    <x:cfRule type="expression" dxfId="22" priority="1">
      <x:formula>AND($A4&lt;&gt;"",ISBLANK(A4))</x:formula>
    </x:cfRule>
  </x:conditionalFormatting>
  <x:conditionalFormatting sqref="B4:B1003">
    <x:cfRule type="containsText" dxfId="23" priority="2" operator="containsText" text="candidate"/>
    <x:cfRule type="containsText" dxfId="24" priority="3" operator="containsText" text="unverified"/>
    <x:cfRule type="containsText" dxfId="25" priority="4" operator="containsText" text="historical"/>
  </x:conditionalFormatting>
  <x:conditionalFormatting sqref="D4:D1003">
    <x:cfRule type="expression" dxfId="26" priority="5">
      <x:formula>AND($A4&lt;&gt;"",ISBLANK(D4))</x:formula>
    </x:cfRule>
  </x:conditionalFormatting>
  <x:conditionalFormatting sqref="E4:E1003">
    <x:cfRule type="expression" dxfId="27" priority="6">
      <x:formula>AND($A4&lt;&gt;"",ISBLANK(E4))</x:formula>
    </x:cfRule>
  </x:conditionalFormatting>
  <x:conditionalFormatting sqref="F4:F1003">
    <x:cfRule type="expression" dxfId="28" priority="7">
      <x:formula>AND($A4&lt;&gt;"",ISBLANK(F4))</x:formula>
    </x:cfRule>
  </x:conditionalFormatting>
  <x:conditionalFormatting sqref="G4:G1003">
    <x:cfRule type="expression" dxfId="29" priority="8">
      <x:formula>AND($A4&lt;&gt;"",ISBLANK(G4))</x:formula>
    </x:cfRule>
  </x:conditionalFormatting>
  <x:conditionalFormatting sqref="H4:H1003">
    <x:cfRule type="expression" dxfId="30" priority="9">
      <x:formula>AND($A4&lt;&gt;"",ISBLANK(H4))</x:formula>
    </x:cfRule>
  </x:conditionalFormatting>
  <x:conditionalFormatting sqref="I4:I1003">
    <x:cfRule type="expression" dxfId="31" priority="10">
      <x:formula>AND($A4&lt;&gt;"",ISBLANK(I4))</x:formula>
    </x:cfRule>
  </x:conditionalFormatting>
  <x:conditionalFormatting sqref="J4:J1003">
    <x:cfRule type="expression" dxfId="32" priority="11">
      <x:formula>AND($A4&lt;&gt;"",ISBLANK(J4))</x:formula>
    </x:cfRule>
  </x:conditionalFormatting>
  <x:dataValidations count="2">
    <x:dataValidation type="list" sqref="B4:B1003">
      <x:formula1>"confirmed,candidate,unverified,historical"</x:formula1>
    </x:dataValidation>
    <x:dataValidation type="list" sqref="J4:J1003">
      <x:formula1>"not_implemented"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区段代码</x:v>
      </x:c>
      <x:c r="F1" s="7" t="str">
        <x:v>起始ID</x:v>
      </x:c>
      <x:c r="G1" s="7" t="str">
        <x:v>结束ID</x:v>
      </x:c>
      <x:c r="H1" s="7" t="str">
        <x:v>内容</x:v>
      </x:c>
      <x:c r="I1" s="7" t="str">
        <x:v>仅内部监听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min_message_id</x:v>
      </x:c>
      <x:c r="G2" s="11" t="str">
        <x:v>max_message_id</x:v>
      </x:c>
      <x:c r="H2" s="11" t="str">
        <x:v>purpose</x:v>
      </x:c>
      <x:c r="I2" s="11" t="str">
        <x:v>internal_only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both</x:v>
      </x:c>
      <x:c r="F3" s="14" t="str">
        <x:v>int / 必填 / both</x:v>
      </x:c>
      <x:c r="G3" s="14" t="str">
        <x:v>int / 必填 / both</x:v>
      </x:c>
      <x:c r="H3" s="14" t="str">
        <x:v>string / 必填 / both</x:v>
      </x:c>
      <x:c r="I3" s="14" t="str">
        <x:v>bool / 必填 / both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架构方案.md §8.2 L432–440；最终策划案.md §7.5 L1114–1116</x:v>
      </x:c>
      <x:c r="D4" s="17" t="str">
        <x:v>只分配区段；具体消息/错误码尚待生成和兼容测试，区段预留不开放额外玩法</x:v>
      </x:c>
      <x:c r="E4" s="16" t="str">
        <x:v>connection_baseline</x:v>
      </x:c>
      <x:c r="F4" s="15" t="n">
        <x:v>1</x:v>
      </x:c>
      <x:c r="G4" s="15" t="n">
        <x:v>999</x:v>
      </x:c>
      <x:c r="H4" s="16" t="str">
        <x:v>心跳、批次、连接与基线控制</x:v>
      </x:c>
      <x:c r="I4" s="20" t="b">
        <x:v>0</x:v>
      </x:c>
    </x:row>
    <x:row r="5" ht="26.399999618530273" hidden="0" customHeight="1">
      <x:c r="A5" s="18" t="n">
        <x:v>2</x:v>
      </x:c>
      <x:c r="B5" s="16" t="str">
        <x:v>confirmed</x:v>
      </x:c>
      <x:c r="C5" s="17" t="str">
        <x:v>架构方案.md §8.2 L432–440；最终策划案.md §7.5 L1114–1116</x:v>
      </x:c>
      <x:c r="D5" s="17" t="str">
        <x:v>只分配区段；具体消息/错误码尚待生成和兼容测试，区段预留不开放额外玩法</x:v>
      </x:c>
      <x:c r="E5" s="16" t="str">
        <x:v>account_directory</x:v>
      </x:c>
      <x:c r="F5" s="15" t="n">
        <x:v>10000</x:v>
      </x:c>
      <x:c r="G5" s="15" t="n">
        <x:v>19999</x:v>
      </x:c>
      <x:c r="H5" s="16" t="str">
        <x:v>认证、选服、角色目录、票据</x:v>
      </x:c>
      <x:c r="I5" s="20" t="b">
        <x:v>0</x:v>
      </x:c>
    </x:row>
    <x:row r="6" ht="26.399999618530273" hidden="0" customHeight="1">
      <x:c r="A6" s="18" t="n">
        <x:v>3</x:v>
      </x:c>
      <x:c r="B6" s="16" t="str">
        <x:v>confirmed</x:v>
      </x:c>
      <x:c r="C6" s="17" t="str">
        <x:v>架构方案.md §8.2 L432–440；最终策划案.md §7.5 L1114–1116</x:v>
      </x:c>
      <x:c r="D6" s="17" t="str">
        <x:v>只分配区段；具体消息/错误码尚待生成和兼容测试，区段预留不开放额外玩法</x:v>
      </x:c>
      <x:c r="E6" s="16" t="str">
        <x:v>entry_movement</x:v>
      </x:c>
      <x:c r="F6" s="15" t="n">
        <x:v>20000</x:v>
      </x:c>
      <x:c r="G6" s="15" t="n">
        <x:v>29999</x:v>
      </x:c>
      <x:c r="H6" s="16" t="str">
        <x:v>入场、场景/线路、转图、实体移动</x:v>
      </x:c>
      <x:c r="I6" s="20" t="b">
        <x:v>0</x:v>
      </x:c>
    </x:row>
    <x:row r="7" ht="26.399999618530273" hidden="0" customHeight="1">
      <x:c r="A7" s="18" t="n">
        <x:v>4</x:v>
      </x:c>
      <x:c r="B7" s="16" t="str">
        <x:v>confirmed</x:v>
      </x:c>
      <x:c r="C7" s="17" t="str">
        <x:v>架构方案.md §8.2 L432–440；最终策划案.md §7.5 L1114–1116</x:v>
      </x:c>
      <x:c r="D7" s="17" t="str">
        <x:v>只分配区段；具体消息/错误码尚待生成和兼容测试，区段预留不开放额外玩法</x:v>
      </x:c>
      <x:c r="E7" s="16" t="str">
        <x:v>combat</x:v>
      </x:c>
      <x:c r="F7" s="15" t="n">
        <x:v>30000</x:v>
      </x:c>
      <x:c r="G7" s="15" t="n">
        <x:v>39999</x:v>
      </x:c>
      <x:c r="H7" s="16" t="str">
        <x:v>技能、伤害、死亡、复活、自动战斗</x:v>
      </x:c>
      <x:c r="I7" s="20" t="b">
        <x:v>0</x:v>
      </x:c>
    </x:row>
    <x:row r="8" ht="26.399999618530273" hidden="0" customHeight="1">
      <x:c r="A8" s="18" t="n">
        <x:v>5</x:v>
      </x:c>
      <x:c r="B8" s="16" t="str">
        <x:v>confirmed</x:v>
      </x:c>
      <x:c r="C8" s="17" t="str">
        <x:v>架构方案.md §8.2 L432–440；最终策划案.md §7.5 L1114–1116</x:v>
      </x:c>
      <x:c r="D8" s="17" t="str">
        <x:v>只分配区段；具体消息/错误码尚待生成和兼容测试，区段预留不开放额外玩法</x:v>
      </x:c>
      <x:c r="E8" s="16" t="str">
        <x:v>assets_markets</x:v>
      </x:c>
      <x:c r="F8" s="15" t="n">
        <x:v>40000</x:v>
      </x:c>
      <x:c r="G8" s="15" t="n">
        <x:v>49999</x:v>
      </x:c>
      <x:c r="H8" s="16" t="str">
        <x:v>背包、仓库、双市场、商城；面对面交易延后</x:v>
      </x:c>
      <x:c r="I8" s="20" t="b">
        <x:v>0</x:v>
      </x:c>
    </x:row>
    <x:row r="9" ht="26.399999618530273" hidden="0" customHeight="1">
      <x:c r="A9" s="18" t="n">
        <x:v>6</x:v>
      </x:c>
      <x:c r="B9" s="16" t="str">
        <x:v>confirmed</x:v>
      </x:c>
      <x:c r="C9" s="17" t="str">
        <x:v>架构方案.md §8.2 L432–440；最终策划案.md §7.5 L1114–1116</x:v>
      </x:c>
      <x:c r="D9" s="17" t="str">
        <x:v>只分配区段；具体消息/错误码尚待生成和兼容测试，区段预留不开放额外玩法</x:v>
      </x:c>
      <x:c r="E9" s="16" t="str">
        <x:v>team_mail_activity</x:v>
      </x:c>
      <x:c r="F9" s="15" t="n">
        <x:v>50000</x:v>
      </x:c>
      <x:c r="G9" s="15" t="n">
        <x:v>59999</x:v>
      </x:c>
      <x:c r="H9" s="16" t="str">
        <x:v>队伍、系统邮件、活动；公会延后</x:v>
      </x:c>
      <x:c r="I9" s="20" t="b">
        <x:v>0</x:v>
      </x:c>
    </x:row>
    <x:row r="10" ht="15" hidden="0" customHeight="1">
      <x:c r="A10" s="18" t="n">
        <x:v>7</x:v>
      </x:c>
      <x:c r="B10" s="16" t="str">
        <x:v>confirmed</x:v>
      </x:c>
      <x:c r="C10" s="17" t="str">
        <x:v>架构方案.md §8.2 L432–440；最终策划案.md §7.5 L1114–1116</x:v>
      </x:c>
      <x:c r="D10" s="17" t="str">
        <x:v>只分配区段；具体消息/错误码尚待生成和兼容测试，区段预留不开放额外玩法</x:v>
      </x:c>
      <x:c r="E10" s="16" t="str">
        <x:v>internal_control</x:v>
      </x:c>
      <x:c r="F10" s="15" t="n">
        <x:v>60000</x:v>
      </x:c>
      <x:c r="G10" s="15" t="n">
        <x:v>65534</x:v>
      </x:c>
      <x:c r="H10" s="16" t="str">
        <x:v>仅内部节点控制与GM</x:v>
      </x:c>
      <x:c r="I10" s="20" t="b">
        <x:v>1</x:v>
      </x:c>
    </x:row>
  </x:sheetData>
  <x:conditionalFormatting sqref="A4:A1003">
    <x:cfRule type="expression" dxfId="33" priority="1">
      <x:formula>AND($A4&lt;&gt;"",ISBLANK(A4))</x:formula>
    </x:cfRule>
  </x:conditionalFormatting>
  <x:conditionalFormatting sqref="B4:B1003">
    <x:cfRule type="containsText" dxfId="34" priority="2" operator="containsText" text="candidate"/>
    <x:cfRule type="containsText" dxfId="35" priority="3" operator="containsText" text="unverified"/>
    <x:cfRule type="containsText" dxfId="36" priority="4" operator="containsText" text="historical"/>
  </x:conditionalFormatting>
  <x:conditionalFormatting sqref="D4:D1003">
    <x:cfRule type="expression" dxfId="37" priority="5">
      <x:formula>AND($A4&lt;&gt;"",ISBLANK(D4))</x:formula>
    </x:cfRule>
  </x:conditionalFormatting>
  <x:conditionalFormatting sqref="E4:E1003">
    <x:cfRule type="expression" dxfId="38" priority="6">
      <x:formula>AND($A4&lt;&gt;"",ISBLANK(E4))</x:formula>
    </x:cfRule>
  </x:conditionalFormatting>
  <x:conditionalFormatting sqref="F4:F1003">
    <x:cfRule type="expression" dxfId="39" priority="7">
      <x:formula>AND($A4&lt;&gt;"",ISBLANK(F4))</x:formula>
    </x:cfRule>
  </x:conditionalFormatting>
  <x:conditionalFormatting sqref="G4:G1003">
    <x:cfRule type="expression" dxfId="40" priority="8">
      <x:formula>AND($A4&lt;&gt;"",ISBLANK(G4))</x:formula>
    </x:cfRule>
  </x:conditionalFormatting>
  <x:conditionalFormatting sqref="H4:H1003">
    <x:cfRule type="expression" dxfId="41" priority="9">
      <x:formula>AND($A4&lt;&gt;"",ISBLANK(H4))</x:formula>
    </x:cfRule>
  </x:conditionalFormatting>
  <x:conditionalFormatting sqref="I4:I1003">
    <x:cfRule type="expression" dxfId="42" priority="10">
      <x:formula>AND($A4&lt;&gt;"",ISBLANK(I4))</x:formula>
    </x:cfRule>
  </x:conditionalFormatting>
  <x:dataValidations count="1">
    <x:dataValidation type="list" sqref="B4:B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分类代码</x:v>
      </x:c>
      <x:c r="F1" s="7" t="str">
        <x:v>内容</x:v>
      </x:c>
      <x:c r="G1" s="7" t="str">
        <x:v>生效方式</x:v>
      </x:c>
      <x:c r="H1" s="7" t="str">
        <x:v>发布契约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contents</x:v>
      </x:c>
      <x:c r="G2" s="11" t="str">
        <x:v>activation_mode</x:v>
      </x:c>
      <x:c r="H2" s="11" t="str">
        <x:v>release_contract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string / 必填 / server</x:v>
      </x:c>
      <x:c r="H3" s="14" t="str">
        <x:v>string / 必填 / server</x:v>
      </x:c>
    </x:row>
    <x:row r="4" ht="26.399999618530273" hidden="0" customHeight="1">
      <x:c r="A4" s="18" t="n">
        <x:v>1</x:v>
      </x:c>
      <x:c r="B4" s="16" t="str">
        <x:v>confirmed</x:v>
      </x:c>
      <x:c r="C4" s="17" t="str">
        <x:v>最终策划案.md §5.11 L787–845；架构方案.md §18.1 L952–962</x:v>
      </x:c>
      <x:c r="D4" s="17" t="str">
        <x:v>策划要求普通个人实例独立无AOI；不包含当前禁用玩法</x:v>
      </x:c>
      <x:c r="E4" s="16" t="str">
        <x:v>scene_structure</x:v>
      </x:c>
      <x:c r="F4" s="16" t="str">
        <x:v>地图结构、场景容量、碰撞、权限</x:v>
      </x:c>
      <x:c r="G4" s="16" t="str">
        <x:v>maintenance_restart</x:v>
      </x:c>
      <x:c r="H4" s="16" t="str">
        <x:v>受影响run排空，核验资源/规则版本后重启</x:v>
      </x:c>
    </x:row>
    <x:row r="5" ht="26.399999618530273" hidden="0" customHeight="1">
      <x:c r="A5" s="18" t="n">
        <x:v>2</x:v>
      </x:c>
      <x:c r="B5" s="16" t="str">
        <x:v>confirmed</x:v>
      </x:c>
      <x:c r="C5" s="17" t="str">
        <x:v>最终策划案.md §5.11 L787–845；架构方案.md §18.1 L952–962</x:v>
      </x:c>
      <x:c r="D5" s="17" t="str">
        <x:v>固定算法不能普通热更</x:v>
      </x:c>
      <x:c r="E5" s="16" t="str">
        <x:v>startup_runtime</x:v>
      </x:c>
      <x:c r="F5" s="16" t="str">
        <x:v>节点监听、Worker、guard算法、持久结构</x:v>
      </x:c>
      <x:c r="G5" s="16" t="str">
        <x:v>startup_validate_or_migrate</x:v>
      </x:c>
      <x:c r="H5" s="16" t="str">
        <x:v>启动校验；结构变化经迁移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§5.11 L787–845；架构方案.md §18.1 L952–962</x:v>
      </x:c>
      <x:c r="D6" s="17" t="str">
        <x:v>未知来源/缺必填字段不进入正式发布</x:v>
      </x:c>
      <x:c r="E6" s="16" t="str">
        <x:v>gameplay_snapshot</x:v>
      </x:c>
      <x:c r="F6" s="16" t="str">
        <x:v>职业/技能/Buff/掉落/成长等数值</x:v>
      </x:c>
      <x:c r="G6" s="16" t="str">
        <x:v>immutable_versioned_snapshot</x:v>
      </x:c>
      <x:c r="H6" s="16" t="str">
        <x:v>完整校验，在安全边界切不可变快照；历史事件保留版本</x:v>
      </x:c>
    </x:row>
    <x:row r="7" ht="52.79999923706055" hidden="0" customHeight="1">
      <x:c r="A7" s="18" t="n">
        <x:v>4</x:v>
      </x:c>
      <x:c r="B7" s="16" t="str">
        <x:v>confirmed</x:v>
      </x:c>
      <x:c r="C7" s="17" t="str">
        <x:v>最终策划案.md §5.11 L787–845；架构方案.md §18.1 L952–962</x:v>
      </x:c>
      <x:c r="D7" s="17" t="str">
        <x:v>仓库激活价格不是当前产品功能，不导入该收费入口</x:v>
      </x:c>
      <x:c r="E7" s="16" t="str">
        <x:v>economic_quote</x:v>
      </x:c>
      <x:c r="F7" s="16" t="str">
        <x:v>商城、托管报价、允许的资产费用</x:v>
      </x:c>
      <x:c r="G7" s="16" t="str">
        <x:v>versioned_control_publish</x:v>
      </x:c>
      <x:c r="H7" s="16" t="str">
        <x:v>关闭相关新购买并收束在途，发布指针/guard后恢复；旧订单沿历史规则</x:v>
      </x:c>
    </x:row>
    <x:row r="8" ht="26.399999618530273" hidden="0" customHeight="1">
      <x:c r="A8" s="18" t="n">
        <x:v>5</x:v>
      </x:c>
      <x:c r="B8" s="16" t="str">
        <x:v>confirmed</x:v>
      </x:c>
      <x:c r="C8" s="17" t="str">
        <x:v>最终策划案.md §5.11 L787–845；架构方案.md §18.1 L952–962</x:v>
      </x:c>
      <x:c r="D8" s="17" t="str">
        <x:v>不从本地JSON直接覆盖运行权</x:v>
      </x:c>
      <x:c r="E8" s="16" t="str">
        <x:v>operational_control</x:v>
      </x:c>
      <x:c r="F8" s="16" t="str">
        <x:v>origin路由、租约、封禁、计划、维护/合服</x:v>
      </x:c>
      <x:c r="G8" s="16" t="str">
        <x:v>persistent_control_transaction</x:v>
      </x:c>
      <x:c r="H8" s="16" t="str">
        <x:v>持久计划/控制事务与执行回执</x:v>
      </x:c>
    </x:row>
    <x:row r="9" ht="26.399999618530273" hidden="0" customHeight="1">
      <x:c r="A9" s="18" t="n">
        <x:v>6</x:v>
      </x:c>
      <x:c r="B9" s="16" t="str">
        <x:v>confirmed</x:v>
      </x:c>
      <x:c r="C9" s="17" t="str">
        <x:v>最终策划案.md §5.11 L787–845；架构方案.md §18.1 L952–962</x:v>
      </x:c>
      <x:c r="D9" s="17" t="str">
        <x:v>固定UI布局仍在scene/prefab，服务端字段不下发</x:v>
      </x:c>
      <x:c r="E9" s="16" t="str">
        <x:v>client_projection</x:v>
      </x:c>
      <x:c r="F9" s="16" t="str">
        <x:v>展示、资源和必要地图字段</x:v>
      </x:c>
      <x:c r="G9" s="16" t="str">
        <x:v>client_projection_of_release</x:v>
      </x:c>
      <x:c r="H9" s="16" t="str">
        <x:v>同一发布清单显式server/client/both/none投影</x:v>
      </x:c>
    </x:row>
  </x:sheetData>
  <x:conditionalFormatting sqref="A4:A1003">
    <x:cfRule type="expression" dxfId="43" priority="1">
      <x:formula>AND($A4&lt;&gt;"",ISBLANK(A4))</x:formula>
    </x:cfRule>
  </x:conditionalFormatting>
  <x:conditionalFormatting sqref="B4:B1003">
    <x:cfRule type="containsText" dxfId="44" priority="2" operator="containsText" text="candidate"/>
    <x:cfRule type="containsText" dxfId="45" priority="3" operator="containsText" text="unverified"/>
    <x:cfRule type="containsText" dxfId="46" priority="4" operator="containsText" text="historical"/>
  </x:conditionalFormatting>
  <x:conditionalFormatting sqref="D4:D1003">
    <x:cfRule type="expression" dxfId="47" priority="5">
      <x:formula>AND($A4&lt;&gt;"",ISBLANK(D4))</x:formula>
    </x:cfRule>
  </x:conditionalFormatting>
  <x:conditionalFormatting sqref="E4:E1003">
    <x:cfRule type="expression" dxfId="48" priority="6">
      <x:formula>AND($A4&lt;&gt;"",ISBLANK(E4))</x:formula>
    </x:cfRule>
  </x:conditionalFormatting>
  <x:conditionalFormatting sqref="F4:F1003">
    <x:cfRule type="expression" dxfId="49" priority="7">
      <x:formula>AND($A4&lt;&gt;"",ISBLANK(F4))</x:formula>
    </x:cfRule>
  </x:conditionalFormatting>
  <x:conditionalFormatting sqref="G4:G1003">
    <x:cfRule type="expression" dxfId="50" priority="8">
      <x:formula>AND($A4&lt;&gt;"",ISBLANK(G4))</x:formula>
    </x:cfRule>
  </x:conditionalFormatting>
  <x:conditionalFormatting sqref="H4:H1003">
    <x:cfRule type="expression" dxfId="51" priority="9">
      <x:formula>AND($A4&lt;&gt;"",ISBLANK(H4))</x:formula>
    </x:cfRule>
  </x:conditionalFormatting>
  <x:dataValidations count="1">
    <x:dataValidation type="list" sqref="B4:B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70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7" t="str">
        <x:v>记录ID</x:v>
      </x:c>
      <x:c r="B1" s="7" t="str">
        <x:v>规则记录状态</x:v>
      </x:c>
      <x:c r="C1" s="7" t="str">
        <x:v>来源定位</x:v>
      </x:c>
      <x:c r="D1" s="7" t="str">
        <x:v>适配与状态说明</x:v>
      </x:c>
      <x:c r="E1" s="7" t="str">
        <x:v>阶段代码</x:v>
      </x:c>
      <x:c r="F1" s="7" t="str">
        <x:v>阶段名称</x:v>
      </x:c>
      <x:c r="G1" s="7" t="str">
        <x:v>验收用例ID</x:v>
      </x:c>
      <x:c r="H1" s="7" t="str">
        <x:v>交付物</x:v>
      </x:c>
      <x:c r="I1" s="7" t="str">
        <x:v>通过条件</x:v>
      </x:c>
      <x:c r="J1" s="7" t="str">
        <x:v>执行状态</x:v>
      </x:c>
    </x:row>
    <x:row r="2" ht="30" customHeight="1">
      <x:c r="A2" s="11" t="str">
        <x:v>id</x:v>
      </x:c>
      <x:c r="B2" s="11" t="str">
        <x:v>record_status</x:v>
      </x:c>
      <x:c r="C2" s="11" t="str">
        <x:v>source_ref</x:v>
      </x:c>
      <x:c r="D2" s="11" t="str">
        <x:v>note</x:v>
      </x:c>
      <x:c r="E2" s="11" t="str">
        <x:v>code</x:v>
      </x:c>
      <x:c r="F2" s="11" t="str">
        <x:v>stage_title</x:v>
      </x:c>
      <x:c r="G2" s="11" t="str">
        <x:v>acceptance_test_ids</x:v>
      </x:c>
      <x:c r="H2" s="11" t="str">
        <x:v>deliverables</x:v>
      </x:c>
      <x:c r="I2" s="11" t="str">
        <x:v>pass_condition</x:v>
      </x:c>
      <x:c r="J2" s="11" t="str">
        <x:v>execution_status</x:v>
      </x:c>
    </x:row>
    <x:row r="3" ht="48" customHeight="1">
      <x:c r="A3" s="14" t="str">
        <x:v>int / 必填 / none</x:v>
      </x:c>
      <x:c r="B3" s="14" t="str">
        <x:v>string / 必填 / none</x:v>
      </x:c>
      <x:c r="C3" s="14" t="str">
        <x:v>string / 必填 / none</x:v>
      </x:c>
      <x:c r="D3" s="14" t="str">
        <x:v>string / 必填 / none</x:v>
      </x:c>
      <x:c r="E3" s="14" t="str">
        <x:v>string / 必填 / server</x:v>
      </x:c>
      <x:c r="F3" s="14" t="str">
        <x:v>string / 必填 / server</x:v>
      </x:c>
      <x:c r="G3" s="14" t="str">
        <x:v>json / 必填 / none</x:v>
      </x:c>
      <x:c r="H3" s="14" t="str">
        <x:v>string / 必填 / server</x:v>
      </x:c>
      <x:c r="I3" s="14" t="str">
        <x:v>string / 必填 / server</x:v>
      </x:c>
      <x:c r="J3" s="14" t="str">
        <x:v>string / 必填 / none</x:v>
      </x:c>
    </x:row>
    <x:row r="4" ht="39.599998474121094" hidden="0" customHeight="1">
      <x:c r="A4" s="18" t="n">
        <x:v>1</x:v>
      </x:c>
      <x:c r="B4" s="16" t="str">
        <x:v>confirmed</x:v>
      </x:c>
      <x:c r="C4" s="17" t="str">
        <x:v>最终策划案.md §7.5 L1135、§8.2 L1151；架构方案.md §20.1 L1053</x:v>
      </x:c>
      <x:c r="D4" s="17" t="str">
        <x:v>所有实现和验收待执行；阶段切片不删减最终P0</x:v>
      </x:c>
      <x:c r="E4" s="16" t="str">
        <x:v>s00</x:v>
      </x:c>
      <x:c r="F4" s="16" t="str">
        <x:v>资料、工程与生成链</x:v>
      </x:c>
      <x:c r="G4" s="16" t="str">
        <x:v>["T000","T001","T002","T003"]</x:v>
      </x:c>
      <x:c r="H4" s="16" t="str">
        <x:v>资料索引、Go/Creator骨架、源表schema和资源转换</x:v>
      </x:c>
      <x:c r="I4" s="16" t="str">
        <x:v>原文件不变；构建与生成/投影校验；首批资源回读</x:v>
      </x:c>
      <x:c r="J4" s="16" t="str">
        <x:v>pending</x:v>
      </x:c>
    </x:row>
    <x:row r="5" ht="39.599998474121094" hidden="0" customHeight="1">
      <x:c r="A5" s="18" t="n">
        <x:v>2</x:v>
      </x:c>
      <x:c r="B5" s="16" t="str">
        <x:v>confirmed</x:v>
      </x:c>
      <x:c r="C5" s="17" t="str">
        <x:v>最终策划案.md §7.1/7.4/7.5；架构方案.md §20.1 L1054–1055</x:v>
      </x:c>
      <x:c r="D5" s="17" t="str">
        <x:v>所有实现和验收待执行；阶段切片不删减最终P0</x:v>
      </x:c>
      <x:c r="E5" s="16" t="str">
        <x:v>s01</x:v>
      </x:c>
      <x:c r="F5" s="16" t="str">
        <x:v>所有权、资产提交与账号</x:v>
      </x:c>
      <x:c r="G5" s="16" t="str">
        <x:v>["T010","T011","T012","T013","T014"]</x:v>
      </x:c>
      <x:c r="H5" s="16" t="str">
        <x:v>租约围栏/四钱包/幂等/票据/五角色</x:v>
      </x:c>
      <x:c r="I5" s="16" t="str">
        <x:v>双启与旧写拒绝、未知对账、五角色和票据单次消费</x:v>
      </x:c>
      <x:c r="J5" s="16" t="str">
        <x:v>pending</x:v>
      </x:c>
    </x:row>
    <x:row r="6" ht="39.599998474121094" hidden="0" customHeight="1">
      <x:c r="A6" s="18" t="n">
        <x:v>3</x:v>
      </x:c>
      <x:c r="B6" s="16" t="str">
        <x:v>confirmed</x:v>
      </x:c>
      <x:c r="C6" s="17" t="str">
        <x:v>最终策划案.md §8.2 L1151–1152、§10.2 L1244–1249</x:v>
      </x:c>
      <x:c r="D6" s="17" t="str">
        <x:v>所有实现和验收待执行；阶段切片不删减最终P0</x:v>
      </x:c>
      <x:c r="E6" s="16" t="str">
        <x:v>s02</x:v>
      </x:c>
      <x:c r="F6" s="16" t="str">
        <x:v>场景与首个可玩闭环</x:v>
      </x:c>
      <x:c r="G6" s="16" t="str">
        <x:v>["T020","T021","T022","T023"]</x:v>
      </x:c>
      <x:c r="H6" s="16" t="str">
        <x:v>个人地图、真实战斗、掉落入包和托管战报、UI</x:v>
      </x:c>
      <x:c r="I6" s="16" t="str">
        <x:v>真机10实体；健康重连保留；故障新世界；永久结果不重不漏</x:v>
      </x:c>
      <x:c r="J6" s="16" t="str">
        <x:v>pending</x:v>
      </x:c>
    </x:row>
    <x:row r="7" ht="39.599998474121094" hidden="0" customHeight="1">
      <x:c r="A7" s="18" t="n">
        <x:v>4</x:v>
      </x:c>
      <x:c r="B7" s="16" t="str">
        <x:v>confirmed</x:v>
      </x:c>
      <x:c r="C7" s="17" t="str">
        <x:v>最终策划案.md §4.1–4.8/4.12/4.25、§8.2 L1152</x:v>
      </x:c>
      <x:c r="D7" s="17" t="str">
        <x:v>所有实现和验收待执行；阶段切片不删减最终P0</x:v>
      </x:c>
      <x:c r="E7" s="16" t="str">
        <x:v>s03</x:v>
      </x:c>
      <x:c r="F7" s="16" t="str">
        <x:v>三职业、权益、托管和工坊</x:v>
      </x:c>
      <x:c r="G7" s="16" t="str">
        <x:v>["T030","T031","T032","T033","T034","T035"]</x:v>
      </x:c>
      <x:c r="H7" s="16" t="str">
        <x:v>全部技能、统一属性、双卡、托管、挖矿打造修理</x:v>
      </x:c>
      <x:c r="I7" s="16" t="str">
        <x:v>技能逐项对拍、事件判绑、日领/购时/两次授权及资产并发</x:v>
      </x:c>
      <x:c r="J7" s="16" t="str">
        <x:v>pending</x:v>
      </x:c>
    </x:row>
    <x:row r="8" ht="39.599998474121094" hidden="0" customHeight="1">
      <x:c r="A8" s="18" t="n">
        <x:v>5</x:v>
      </x:c>
      <x:c r="B8" s="16" t="str">
        <x:v>confirmed</x:v>
      </x:c>
      <x:c r="C8" s="17" t="str">
        <x:v>最终策划案.md §4.3/4.9、§7.1、§10.2；架构方案.md §20.1 L1058–1059（适配）</x:v>
      </x:c>
      <x:c r="D8" s="17" t="str">
        <x:v>所有实现和验收待执行；阶段切片不删减最终P0</x:v>
      </x:c>
      <x:c r="E8" s="16" t="str">
        <x:v>s04</x:v>
      </x:c>
      <x:c r="F8" s="16" t="str">
        <x:v>仓库、双市场与充值</x:v>
      </x:c>
      <x:c r="G8" s="16" t="str">
        <x:v>["T040","T041","T042","T043","T044"]</x:v>
      </x:c>
      <x:c r="H8" s="16" t="str">
        <x:v>共享/个人仓、道具竞购、金币撮合、充值账本</x:v>
      </x:c>
      <x:c r="I8" s="16" t="str">
        <x:v>origin隔离、市场终态与退款、十分精度及10%共用税余数守恒</x:v>
      </x:c>
      <x:c r="J8" s="16" t="str">
        <x:v>pending</x:v>
      </x:c>
    </x:row>
    <x:row r="9" ht="39.599998474121094" hidden="0" customHeight="1">
      <x:c r="A9" s="18" t="n">
        <x:v>6</x:v>
      </x:c>
      <x:c r="B9" s="16" t="str">
        <x:v>confirmed</x:v>
      </x:c>
      <x:c r="C9" s="17" t="str">
        <x:v>最终策划案.md §4.17–4.21、§7.2、§8.2 L1153</x:v>
      </x:c>
      <x:c r="D9" s="17" t="str">
        <x:v>所有实现和验收待执行；阶段切片不删减最终P0</x:v>
      </x:c>
      <x:c r="E9" s="16" t="str">
        <x:v>s05</x:v>
      </x:c>
      <x:c r="F9" s="16" t="str">
        <x:v>BOSS、副本、镜像与任务</x:v>
      </x:c>
      <x:c r="G9" s="16" t="str">
        <x:v>["T050","T051","T052","T053","T054"]</x:v>
      </x:c>
      <x:c r="H9" s="16" t="str">
        <x:v>普通+至多一挑战、世界BOSS、三人副本、镜像、图鉴任务</x:v>
      </x:c>
      <x:c r="I9" s="16" t="str">
        <x:v>固定快照/owner结算/终态竞争、资格与供给、系统奖励独立绑定</x:v>
      </x:c>
      <x:c r="J9" s="16" t="str">
        <x:v>pending</x:v>
      </x:c>
    </x:row>
    <x:row r="10" ht="52.79999923706055" hidden="0" customHeight="1">
      <x:c r="A10" s="18" t="n">
        <x:v>7</x:v>
      </x:c>
      <x:c r="B10" s="16" t="str">
        <x:v>confirmed</x:v>
      </x:c>
      <x:c r="C10" s="17" t="str">
        <x:v>最终策划案.md §4.4–4.6/4.22–4.24、§5、§8.2 L1154</x:v>
      </x:c>
      <x:c r="D10" s="17" t="str">
        <x:v>所有实现和验收待执行；阶段切片不删减最终P0</x:v>
      </x:c>
      <x:c r="E10" s="16" t="str">
        <x:v>s06</x:v>
      </x:c>
      <x:c r="F10" s="16" t="str">
        <x:v>完整养成与经济复算</x:v>
      </x:c>
      <x:c r="G10" s="16" t="str">
        <x:v>["T060","T061","T062","T063","T064"]</x:v>
      </x:c>
      <x:c r="H10" s="16" t="str">
        <x:v>强化洗炼幸运、技能深追、炼体魂兽勋章翅膀、转生、战令商城与广告奖励</x:v>
      </x:c>
      <x:c r="I10" s="16" t="str">
        <x:v>全来源预算、唯一wing与保底、三职业矩阵及四钱包守恒</x:v>
      </x:c>
      <x:c r="J10" s="16" t="str">
        <x:v>pending</x:v>
      </x:c>
    </x:row>
    <x:row r="11" ht="39.599998474121094" hidden="0" customHeight="1">
      <x:c r="A11" s="18" t="n">
        <x:v>8</x:v>
      </x:c>
      <x:c r="B11" s="16" t="str">
        <x:v>confirmed</x:v>
      </x:c>
      <x:c r="C11" s="17" t="str">
        <x:v>最终策划案.md §6/7/8.2 L1155/10；架构方案.md §20.1 L1061–1062</x:v>
      </x:c>
      <x:c r="D11" s="17" t="str">
        <x:v>所有实现和验收待执行；阶段切片不删减最终P0</x:v>
      </x:c>
      <x:c r="E11" s="16" t="str">
        <x:v>s07</x:v>
      </x:c>
      <x:c r="F11" s="16" t="str">
        <x:v>运维、合服与上线门槛</x:v>
      </x:c>
      <x:c r="G11" s="16" t="str">
        <x:v>["T070","T071","T072","T073","T074","T075","T076"]</x:v>
      </x:c>
      <x:c r="H11" s="16" t="str">
        <x:v>发布回滚、GM监管、维护合服、备份恢复、混合压测与发行</x:v>
      </x:c>
      <x:c r="I11" s="16" t="str">
        <x:v>故障注入、旧owner拒绝、配额保留、真机/容量/平台证据</x:v>
      </x:c>
      <x:c r="J11" s="16" t="str">
        <x:v>pending</x:v>
      </x:c>
    </x:row>
  </x:sheetData>
  <x:conditionalFormatting sqref="A4:A1003">
    <x:cfRule type="expression" dxfId="52" priority="1">
      <x:formula>AND($A4&lt;&gt;"",ISBLANK(A4))</x:formula>
    </x:cfRule>
  </x:conditionalFormatting>
  <x:conditionalFormatting sqref="B4:B1003">
    <x:cfRule type="containsText" dxfId="53" priority="2" operator="containsText" text="candidate"/>
    <x:cfRule type="containsText" dxfId="54" priority="3" operator="containsText" text="unverified"/>
    <x:cfRule type="containsText" dxfId="55" priority="4" operator="containsText" text="historical"/>
  </x:conditionalFormatting>
  <x:conditionalFormatting sqref="D4:D1003">
    <x:cfRule type="expression" dxfId="56" priority="5">
      <x:formula>AND($A4&lt;&gt;"",ISBLANK(D4))</x:formula>
    </x:cfRule>
  </x:conditionalFormatting>
  <x:conditionalFormatting sqref="E4:E1003">
    <x:cfRule type="expression" dxfId="57" priority="6">
      <x:formula>AND($A4&lt;&gt;"",ISBLANK(E4))</x:formula>
    </x:cfRule>
  </x:conditionalFormatting>
  <x:conditionalFormatting sqref="F4:F1003">
    <x:cfRule type="expression" dxfId="58" priority="7">
      <x:formula>AND($A4&lt;&gt;"",ISBLANK(F4))</x:formula>
    </x:cfRule>
  </x:conditionalFormatting>
  <x:conditionalFormatting sqref="G4:G1003">
    <x:cfRule type="expression" dxfId="59" priority="8">
      <x:formula>AND($A4&lt;&gt;"",ISBLANK(G4))</x:formula>
    </x:cfRule>
  </x:conditionalFormatting>
  <x:conditionalFormatting sqref="H4:H1003">
    <x:cfRule type="expression" dxfId="60" priority="9">
      <x:formula>AND($A4&lt;&gt;"",ISBLANK(H4))</x:formula>
    </x:cfRule>
  </x:conditionalFormatting>
  <x:conditionalFormatting sqref="I4:I1003">
    <x:cfRule type="expression" dxfId="61" priority="10">
      <x:formula>AND($A4&lt;&gt;"",ISBLANK(I4))</x:formula>
    </x:cfRule>
  </x:conditionalFormatting>
  <x:conditionalFormatting sqref="J4:J1003">
    <x:cfRule type="expression" dxfId="62" priority="11">
      <x:formula>AND($A4&lt;&gt;"",ISBLANK(J4))</x:formula>
    </x:cfRule>
  </x:conditionalFormatting>
  <x:dataValidations count="2">
    <x:dataValidation type="list" sqref="B4:B1003">
      <x:formula1>"confirmed,candidate,unverified,historical"</x:formula1>
    </x:dataValidation>
    <x:dataValidation type="list" sqref="J4:J1003">
      <x:formula1>"pending"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6" t="str">
        <x:v>B_ARCH_IMPLEMENTATION</x:v>
      </x:c>
      <x:c r="B4" s="2" t="str">
        <x:v>runtime</x:v>
      </x:c>
      <x:c r="C4" s="16" t="str">
        <x:v>节点/提交器/协议/迁移/启动器尚未实现</x:v>
      </x:c>
      <x:c r="D4" s="16" t="str">
        <x:v>完成对应阶段代码、构建和故障验收</x:v>
      </x:c>
      <x:c r="E4" s="2" t="str">
        <x:v>open</x:v>
      </x:c>
      <x:c r="F4" s="2"/>
      <x:c r="G4" s="2" t="str">
        <x:v>架构方案.md §20.1 L1047–1062</x:v>
      </x:c>
    </x:row>
    <x:row r="5" ht="60" customHeight="1">
      <x:c r="A5" s="16" t="str">
        <x:v>B_ARCH_PERSONAL_RUNTIME</x:v>
      </x:c>
      <x:c r="B5" s="2" t="str">
        <x:v>runtime</x:v>
      </x:c>
      <x:c r="C5" s="16" t="str">
        <x:v>共享调度、角色owner与特殊挑战的适配尚未验证</x:v>
      </x:c>
      <x:c r="D5" s="16" t="str">
        <x:v>验证个人实例与最多一挑战并行、永久结算及换代</x:v>
      </x:c>
      <x:c r="E5" s="2" t="str">
        <x:v>open</x:v>
      </x:c>
      <x:c r="F5" s="2"/>
      <x:c r="G5" s="2" t="str">
        <x:v>最终策划案.md §7.2 L1024–1036</x:v>
      </x:c>
    </x:row>
    <x:row r="6" ht="60" customHeight="1">
      <x:c r="A6" s="16" t="str">
        <x:v>B_ARCH_ENTITY_BUDGETS</x:v>
      </x:c>
      <x:c r="B6" s="2" t="str">
        <x:v>capacity</x:v>
      </x:c>
      <x:c r="C6" s="16" t="str">
        <x:v>实体、队列、生成速率及Line/run/node配额缺少实测发布值</x:v>
      </x:c>
      <x:c r="D6" s="16" t="str">
        <x:v>以真实实体谱压测填写完整正数预算</x:v>
      </x:c>
      <x:c r="E6" s="2" t="str">
        <x:v>open</x:v>
      </x:c>
      <x:c r="F6" s="2"/>
      <x:c r="G6" s="2" t="str">
        <x:v>架构方案.md §19.1 L1026；最终策划案.md §10.3 L1260</x:v>
      </x:c>
    </x:row>
    <x:row r="7" ht="60" customHeight="1">
      <x:c r="A7" s="16" t="str">
        <x:v>B_ARCH_PROTOCOL_SCHEMA</x:v>
      </x:c>
      <x:c r="B7" s="2" t="str">
        <x:v>protocol</x:v>
      </x:c>
      <x:c r="C7" s="16" t="str">
        <x:v>仅有消息号区段，PB/错误码/兼容和帧校验未全部完成</x:v>
      </x:c>
      <x:c r="D7" s="16" t="str">
        <x:v>生成完整协议并执行帧/越界/兼容/重放测试</x:v>
      </x:c>
      <x:c r="E7" s="2" t="str">
        <x:v>open</x:v>
      </x:c>
      <x:c r="F7" s="2"/>
      <x:c r="G7" s="2" t="str">
        <x:v>架构方案.md §8.1–8.2 L405–446</x:v>
      </x:c>
    </x:row>
    <x:row r="8" ht="60" customHeight="1">
      <x:c r="A8" s="16" t="str">
        <x:v>B_ARCH_DEPLOYMENT</x:v>
      </x:c>
      <x:c r="B8" s="2" t="str">
        <x:v>deployment</x:v>
      </x:c>
      <x:c r="C8" s="16" t="str">
        <x:v>数据库副本集、证书和凭据引用、路由与索引未部署</x:v>
      </x:c>
      <x:c r="D8" s="16" t="str">
        <x:v>在隔离开发环境实施迁移和凭据注入并验证启动</x:v>
      </x:c>
      <x:c r="E8" s="2" t="str">
        <x:v>open</x:v>
      </x:c>
      <x:c r="F8" s="2"/>
      <x:c r="G8" s="2" t="str">
        <x:v>最终策划案.md §7.5；架构方案.md §18.3 L999–1005</x:v>
      </x:c>
    </x:row>
    <x:row r="9" ht="60" customHeight="1">
      <x:c r="A9" s="16" t="str">
        <x:v>B_ARCH_CAPACITY</x:v>
      </x:c>
      <x:c r="B9" s="2" t="str">
        <x:v>capacity</x:v>
      </x:c>
      <x:c r="C9" s="16" t="str">
        <x:v>全部容量与延迟目标仅为候选，未压测</x:v>
      </x:c>
      <x:c r="D9" s="16" t="str">
        <x:v>提交版本锁定的混合负载、故障及长稳证据</x:v>
      </x:c>
      <x:c r="E9" s="2" t="str">
        <x:v>open</x:v>
      </x:c>
      <x:c r="F9" s="2"/>
      <x:c r="G9" s="2" t="str">
        <x:v>架构方案.md §19 L1007–1043；最终策划案.md §10.3 L1254–1262</x:v>
      </x:c>
    </x:row>
    <x:row r="10" ht="60" customHeight="1">
      <x:c r="A10" s="16" t="str">
        <x:v>B_ARCH_SOURCE_RULES</x:v>
      </x:c>
      <x:c r="B10" s="2" t="str">
        <x:v>rules</x:v>
      </x:c>
      <x:c r="C10" s="16" t="str">
        <x:v>技能来源/正式数值等未核验项仍需完成</x:v>
      </x:c>
      <x:c r="D10" s="16" t="str">
        <x:v>逐项来源、规则、配置及用例状态通过发布门禁</x:v>
      </x:c>
      <x:c r="E10" s="2" t="str">
        <x:v>open</x:v>
      </x:c>
      <x:c r="F10" s="2"/>
      <x:c r="G10" s="2" t="str">
        <x:v>最终策划案.md §5.11 L831–845、附录C L1415–1419</x:v>
      </x:c>
    </x:row>
    <x:row r="11" ht="60" customHeight="1">
      <x:c r="A11" s="16" t="str">
        <x:v>B_ARCH_DEATH_RULES</x:v>
      </x:c>
      <x:c r="B11" s="2" t="str">
        <x:v>combat</x:v>
      </x:c>
      <x:c r="C11" s="16" t="str">
        <x:v>普通挂机与挑战的死亡/复活及重入规则尚需逐项核验，不能默认采用架构处罚或付费复活</x:v>
      </x:c>
      <x:c r="D11" s="16" t="str">
        <x:v>完成1.80对照与产品规则清单，明确每场景死亡/复活/费用/重入并验证防重</x:v>
      </x:c>
      <x:c r="E11" s="2" t="str">
        <x:v>open</x:v>
      </x:c>
      <x:c r="F11" s="2"/>
      <x:c r="G11" s="2" t="str">
        <x:v>最终策划案.md §4.8 L294–296、§4.18 L457；架构方案.md §10 L601–661</x:v>
      </x:c>
    </x:row>
  </x:sheetData>
  <x:conditionalFormatting sqref="E4:E1003">
    <x:cfRule type="containsText" dxfId="63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