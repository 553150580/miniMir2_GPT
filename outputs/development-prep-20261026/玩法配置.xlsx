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e38e63016945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418ca1812bf84ba5"/>
    <x:sheet xmlns:r="http://schemas.openxmlformats.org/officeDocument/2006/relationships" name="四货币" sheetId="2" r:id="R414c9d9282ca46bf"/>
    <x:sheet xmlns:r="http://schemas.openxmlformats.org/officeDocument/2006/relationships" name="职业与固定形象" sheetId="3" r:id="R067f0974e5014559"/>
    <x:sheet xmlns:r="http://schemas.openxmlformats.org/officeDocument/2006/relationships" name="装备部位" sheetId="4" r:id="R902628571fb4450b"/>
    <x:sheet xmlns:r="http://schemas.openxmlformats.org/officeDocument/2006/relationships" name="品质与词条槽" sheetId="5" r:id="Rca8ab9399dd24816"/>
    <x:sheet xmlns:r="http://schemas.openxmlformats.org/officeDocument/2006/relationships" name="装备阶段" sheetId="6" r:id="R8b4cc988cb904378"/>
    <x:sheet xmlns:r="http://schemas.openxmlformats.org/officeDocument/2006/relationships" name="产品范围与基础约束" sheetId="7" r:id="R7ec60e20dea4464b"/>
    <x:sheet xmlns:r="http://schemas.openxmlformats.org/officeDocument/2006/relationships" name="角色与仓库规则" sheetId="8" r:id="R0f47c3cf39a34aa2"/>
    <x:sheet xmlns:r="http://schemas.openxmlformats.org/officeDocument/2006/relationships" name="绑定判定事件" sheetId="9" r:id="R639edcea61ed4d13"/>
    <x:sheet xmlns:r="http://schemas.openxmlformats.org/officeDocument/2006/relationships" name="绑定资源授权" sheetId="10" r:id="R2650c7d6b5c94c8d"/>
    <x:sheet xmlns:r="http://schemas.openxmlformats.org/officeDocument/2006/relationships" name="双卡产品" sheetId="11" r:id="R4a4625501aa845ac"/>
    <x:sheet xmlns:r="http://schemas.openxmlformats.org/officeDocument/2006/relationships" name="双卡与托管权益" sheetId="12" r:id="Re155801793df4da4"/>
    <x:sheet xmlns:r="http://schemas.openxmlformats.org/officeDocument/2006/relationships" name="道具竞购规则" sheetId="13" r:id="Rf69b3055a3014007"/>
    <x:sheet xmlns:r="http://schemas.openxmlformats.org/officeDocument/2006/relationships" name="金币撮合规则" sheetId="14" r:id="Rc46c0aae41164696"/>
    <x:sheet xmlns:r="http://schemas.openxmlformats.org/officeDocument/2006/relationships" name="普通掉落互斥分类" sheetId="15" r:id="R729a4a408f4c4a2d"/>
    <x:sheet xmlns:r="http://schemas.openxmlformats.org/officeDocument/2006/relationships" name="保底与掉落限额规则" sheetId="16" r:id="R6f0d603e900c456a"/>
    <x:sheet xmlns:r="http://schemas.openxmlformats.org/officeDocument/2006/relationships" name="洗炼16词条池" sheetId="17" r:id="R3ee25bea9e70440f"/>
    <x:sheet xmlns:r="http://schemas.openxmlformats.org/officeDocument/2006/relationships" name="洗炼品质消耗" sheetId="18" r:id="R2b27829aa1c846e7"/>
    <x:sheet xmlns:r="http://schemas.openxmlformats.org/officeDocument/2006/relationships" name="洗炼五档" sheetId="19" r:id="Refa3850deb09484d"/>
    <x:sheet xmlns:r="http://schemas.openxmlformats.org/officeDocument/2006/relationships" name="洗炼锁槽费用" sheetId="20" r:id="Rf7c983182c3d4fa4"/>
    <x:sheet xmlns:r="http://schemas.openxmlformats.org/officeDocument/2006/relationships" name="部位强化逐级候选" sheetId="21" r:id="R9aba4bab074147ac"/>
    <x:sheet xmlns:r="http://schemas.openxmlformats.org/officeDocument/2006/relationships" name="炼体七系候选" sheetId="22" r:id="R9893949173f949fb"/>
    <x:sheet xmlns:r="http://schemas.openxmlformats.org/officeDocument/2006/relationships" name="炼体逐级概率" sheetId="23" r:id="R2ecc7edabfd5456b"/>
    <x:sheet xmlns:r="http://schemas.openxmlformats.org/officeDocument/2006/relationships" name="初始幸运生成" sheetId="24" r:id="R84d8fc6a8dae418e"/>
    <x:sheet xmlns:r="http://schemas.openxmlformats.org/officeDocument/2006/relationships" name="用油逐级规则" sheetId="25" r:id="Rbb8ebc37dbd94e0a"/>
    <x:sheet xmlns:r="http://schemas.openxmlformats.org/officeDocument/2006/relationships" name="幸运一击贡献" sheetId="26" r:id="R5ae1dc33a6524a63"/>
    <x:sheet xmlns:r="http://schemas.openxmlformats.org/officeDocument/2006/relationships" name="幸运11贡献位" sheetId="27" r:id="Rb061d44b76b24856"/>
    <x:sheet xmlns:r="http://schemas.openxmlformats.org/officeDocument/2006/relationships" name="幸运结算与分解规则" sheetId="28" r:id="Rc48568a1c8e54775"/>
    <x:sheet xmlns:r="http://schemas.openxmlformats.org/officeDocument/2006/relationships" name="矿种候选" sheetId="29" r:id="R7c813adfc66e42eb"/>
    <x:sheet xmlns:r="http://schemas.openxmlformats.org/officeDocument/2006/relationships" name="矿区楼层候选" sheetId="30" r:id="R309b5950f7b443e8"/>
    <x:sheet xmlns:r="http://schemas.openxmlformats.org/officeDocument/2006/relationships" name="矿石纯度档" sheetId="31" r:id="R2c0752e95c02400a"/>
    <x:sheet xmlns:r="http://schemas.openxmlformats.org/officeDocument/2006/relationships" name="挖矿打造修理规则" sheetId="32" r:id="R99e20ea1270446dc"/>
    <x:sheet xmlns:r="http://schemas.openxmlformats.org/officeDocument/2006/relationships" name="等级档费用候选" sheetId="33" r:id="R589992ed0a4049db"/>
    <x:sheet xmlns:r="http://schemas.openxmlformats.org/officeDocument/2006/relationships" name="技能书分解候选" sheetId="34" r:id="R8eccc0999c0d4824"/>
    <x:sheet xmlns:r="http://schemas.openxmlformats.org/officeDocument/2006/relationships" name="商城商品候选" sheetId="35" r:id="R8f62e14b1ca54e2b"/>
    <x:sheet xmlns:r="http://schemas.openxmlformats.org/officeDocument/2006/relationships" name="挑战与副本规则" sheetId="36" r:id="R169e3f88cc8048bf"/>
    <x:sheet xmlns:r="http://schemas.openxmlformats.org/officeDocument/2006/relationships" name="副本等级入口" sheetId="37" r:id="Rf0853980f4cf44ad"/>
    <x:sheet xmlns:r="http://schemas.openxmlformats.org/officeDocument/2006/relationships" name="镜像竞技规则" sheetId="38" r:id="R6a813538954a4184"/>
    <x:sheet xmlns:r="http://schemas.openxmlformats.org/officeDocument/2006/relationships" name="竞技连胜积分" sheetId="39" r:id="Rba9c41c9f69e49f2"/>
    <x:sheet xmlns:r="http://schemas.openxmlformats.org/officeDocument/2006/relationships" name="等级转生与任务规则" sheetId="40" r:id="Red18109ff2874905"/>
    <x:sheet xmlns:r="http://schemas.openxmlformats.org/officeDocument/2006/relationships" name="魂兽名录" sheetId="41" r:id="R2cd7433e314d4118"/>
    <x:sheet xmlns:r="http://schemas.openxmlformats.org/officeDocument/2006/relationships" name="魂兽三池词条" sheetId="42" r:id="R998a0d06a5ed4f39"/>
    <x:sheet xmlns:r="http://schemas.openxmlformats.org/officeDocument/2006/relationships" name="魂兽勋章翅膀规则" sheetId="43" r:id="R5c03974593b2493a"/>
    <x:sheet xmlns:r="http://schemas.openxmlformats.org/officeDocument/2006/relationships" name="翅膀逐阶待定" sheetId="44" r:id="Ra579439162ef4fa0"/>
    <x:sheet xmlns:r="http://schemas.openxmlformats.org/officeDocument/2006/relationships" name="战令档位候选" sheetId="45" r:id="R1593653de4b44111"/>
    <x:sheet xmlns:r="http://schemas.openxmlformats.org/officeDocument/2006/relationships" name="战令奖励候选" sheetId="46" r:id="R4099a294f8e046ae"/>
    <x:sheet xmlns:r="http://schemas.openxmlformats.org/officeDocument/2006/relationships" name="首充与广告候选" sheetId="47" r:id="R79d0b437673d484a"/>
    <x:sheet xmlns:r="http://schemas.openxmlformats.org/officeDocument/2006/relationships" name="全来源预算候选" sheetId="48" r:id="R588d692152be4ab1"/>
    <x:sheet xmlns:r="http://schemas.openxmlformats.org/officeDocument/2006/relationships" name="客户端显示与操作" sheetId="49" r:id="R9942520517ee465c"/>
    <x:sheet xmlns:r="http://schemas.openxmlformats.org/officeDocument/2006/relationships" name="职业基础与成长" sheetId="50" r:id="R5e0efab4c3564260"/>
    <x:sheet xmlns:r="http://schemas.openxmlformats.org/officeDocument/2006/relationships" name="物品定义" sheetId="51" r:id="Rb26b7146d27641ea"/>
    <x:sheet xmlns:r="http://schemas.openxmlformats.org/officeDocument/2006/relationships" name="装备定义" sheetId="52" r:id="R05c2d58185e444a5"/>
    <x:sheet xmlns:r="http://schemas.openxmlformats.org/officeDocument/2006/relationships" name="装备外观映射" sheetId="53" r:id="Rb90602b281c440db"/>
    <x:sheet xmlns:r="http://schemas.openxmlformats.org/officeDocument/2006/relationships" name="怪物定义" sheetId="54" r:id="R764d17fe6cf940d9"/>
    <x:sheet xmlns:r="http://schemas.openxmlformats.org/officeDocument/2006/relationships" name="地图定义" sheetId="55" r:id="Rbfc6d6c8f1c14c31"/>
    <x:sheet xmlns:r="http://schemas.openxmlformats.org/officeDocument/2006/relationships" name="地图碰撞" sheetId="56" r:id="Rde844db490c84e75"/>
    <x:sheet xmlns:r="http://schemas.openxmlformats.org/officeDocument/2006/relationships" name="地图区域与NPC" sheetId="57" r:id="R24dbce6288914169"/>
    <x:sheet xmlns:r="http://schemas.openxmlformats.org/officeDocument/2006/relationships" name="刷怪生成点" sheetId="58" r:id="R3a55eaf054e149ae"/>
    <x:sheet xmlns:r="http://schemas.openxmlformats.org/officeDocument/2006/relationships" name="NPC功能" sheetId="59" r:id="R5704149616024532"/>
    <x:sheet xmlns:r="http://schemas.openxmlformats.org/officeDocument/2006/relationships" name="技能基础定义" sheetId="60" r:id="Rddf148a7dd6d4df2"/>
    <x:sheet xmlns:r="http://schemas.openxmlformats.org/officeDocument/2006/relationships" name="技能逐级扩展" sheetId="61" r:id="Rd73a9ce6883b4866"/>
    <x:sheet xmlns:r="http://schemas.openxmlformats.org/officeDocument/2006/relationships" name="技能范围格模板" sheetId="62" r:id="R6aa1161aa3934194"/>
    <x:sheet xmlns:r="http://schemas.openxmlformats.org/officeDocument/2006/relationships" name="Buff定义" sheetId="63" r:id="R4264d9f01449436e"/>
    <x:sheet xmlns:r="http://schemas.openxmlformats.org/officeDocument/2006/relationships" name="效果列表" sheetId="64" r:id="Rae5fb4af6d254b52"/>
    <x:sheet xmlns:r="http://schemas.openxmlformats.org/officeDocument/2006/relationships" name="职业宠物模板" sheetId="65" r:id="R8cac2ddc93a84f22"/>
    <x:sheet xmlns:r="http://schemas.openxmlformats.org/officeDocument/2006/relationships" name="宠物成长" sheetId="66" r:id="R45329f5daa0b4774"/>
    <x:sheet xmlns:r="http://schemas.openxmlformats.org/officeDocument/2006/relationships" name="逐级经验" sheetId="67" r:id="R7d1cfa44d6a84b83"/>
    <x:sheet xmlns:r="http://schemas.openxmlformats.org/officeDocument/2006/relationships" name="转生条件" sheetId="68" r:id="R924f688e39814494"/>
    <x:sheet xmlns:r="http://schemas.openxmlformats.org/officeDocument/2006/relationships" name="掉落池定义" sheetId="69" r:id="R8cbbf6401edc424f"/>
    <x:sheet xmlns:r="http://schemas.openxmlformats.org/officeDocument/2006/relationships" name="掉落条目" sheetId="70" r:id="R8b9a20c66b134372"/>
    <x:sheet xmlns:r="http://schemas.openxmlformats.org/officeDocument/2006/relationships" name="高品质随机掉落额度" sheetId="71" r:id="R27ec882fae604acd"/>
    <x:sheet xmlns:r="http://schemas.openxmlformats.org/officeDocument/2006/relationships" name="装备分解金币与副产物" sheetId="72" r:id="Refa0227a71724103"/>
    <x:sheet xmlns:r="http://schemas.openxmlformats.org/officeDocument/2006/relationships" name="词条阶段基数与上限" sheetId="73" r:id="Rfec54aa8aa3d4388"/>
    <x:sheet xmlns:r="http://schemas.openxmlformats.org/officeDocument/2006/relationships" name="锄头工具" sheetId="74" r:id="Ra4614a60861a4c00"/>
    <x:sheet xmlns:r="http://schemas.openxmlformats.org/officeDocument/2006/relationships" name="图纸打造配方" sheetId="75" r:id="Re2d44e04fbfb4f33"/>
    <x:sheet xmlns:r="http://schemas.openxmlformats.org/officeDocument/2006/relationships" name="修理配方" sheetId="76" r:id="Rb9446adb1e114df9"/>
    <x:sheet xmlns:r="http://schemas.openxmlformats.org/officeDocument/2006/relationships" name="BOSS与场次模板" sheetId="77" r:id="R84dd343ac02c43fc"/>
    <x:sheet xmlns:r="http://schemas.openxmlformats.org/officeDocument/2006/relationships" name="讨伐链模板" sheetId="78" r:id="R0d9bfb72cf6a4bb4"/>
    <x:sheet xmlns:r="http://schemas.openxmlformats.org/officeDocument/2006/relationships" name="竞技赛季奖励与兑换" sheetId="79" r:id="Raeb1fd55cf24483a"/>
    <x:sheet xmlns:r="http://schemas.openxmlformats.org/officeDocument/2006/relationships" name="主线任务" sheetId="80" r:id="R142586d523084ee8"/>
    <x:sheet xmlns:r="http://schemas.openxmlformats.org/officeDocument/2006/relationships" name="每日任务池" sheetId="81" r:id="Rff2b5a8369a64aab"/>
    <x:sheet xmlns:r="http://schemas.openxmlformats.org/officeDocument/2006/relationships" name="永久成就" sheetId="82" r:id="R285cfe7b5a364a74"/>
    <x:sheet xmlns:r="http://schemas.openxmlformats.org/officeDocument/2006/relationships" name="怪物图鉴条目" sheetId="83" r:id="Ra0959ac57d2b4626"/>
    <x:sheet xmlns:r="http://schemas.openxmlformats.org/officeDocument/2006/relationships" name="魂兽逐星价值与消耗" sheetId="84" r:id="R9a198f9c539f4f40"/>
    <x:sheet xmlns:r="http://schemas.openxmlformats.org/officeDocument/2006/relationships" name="勋章逐级配置" sheetId="85" r:id="Rac864529f88f4da0"/>
    <x:sheet xmlns:r="http://schemas.openxmlformats.org/officeDocument/2006/relationships" name="奖励组定义" sheetId="86" r:id="Rf745861f74ca43f6"/>
    <x:sheet xmlns:r="http://schemas.openxmlformats.org/officeDocument/2006/relationships" name="奖励组条目" sheetId="87" r:id="R144b0ea7da4e4d1b"/>
    <x:sheet xmlns:r="http://schemas.openxmlformats.org/officeDocument/2006/relationships" name="系统邮件模板" sheetId="88" r:id="Rc2086a7553ba455c"/>
    <x:sheet xmlns:r="http://schemas.openxmlformats.org/officeDocument/2006/relationships" name="属性单位与结算管线" sheetId="89" r:id="R7bc741a9e13c491a"/>
    <x:sheet xmlns:r="http://schemas.openxmlformats.org/officeDocument/2006/relationships" name="历史七档行为样本" sheetId="90" r:id="Rb35545c9f6fa46ca"/>
    <x:sheet xmlns:r="http://schemas.openxmlformats.org/officeDocument/2006/relationships" name="历史样本隔离" sheetId="91" r:id="Rf43d51e144dc4831"/>
    <x:sheet xmlns:r="http://schemas.openxmlformats.org/officeDocument/2006/relationships" name="服务端权威规则" sheetId="92" r:id="R56a3bf056cb9481b"/>
    <x:sheet xmlns:r="http://schemas.openxmlformats.org/officeDocument/2006/relationships" name="发布缺口" sheetId="93" r:id="Rb52c66b42aaf4f8c"/>
    <x:sheet xmlns:r="http://schemas.openxmlformats.org/officeDocument/2006/relationships" name="使用说明" sheetId="94" r:id="R3463edb35c5e46fa"/>
    <x:sheet xmlns:r="http://schemas.openxmlformats.org/officeDocument/2006/relationships" name="开发首循环夹具" sheetId="95" r:id="R714aa2e9efc54ac5"/>
  </x:sheet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 xmlns:ns1="http://schemas.microsoft.com/office/spreadsheetml/2022/featurepropertybag">
  <numFmts count="2">
    <numFmt numFmtId="200" formatCode="#,##0"/>
    <numFmt numFmtId="201" formatCode="General"/>
  </numFmts>
  <fonts count="6">
    <font>
      <sz val="11"/>
      <name val="Carlito"/>
    </font>
    <font>
      <sz val="11"/>
      <color rgb="FF243247"/>
      <name val="Arial"/>
    </font>
    <font>
      <b/>
      <sz val="16"/>
      <color rgb="FF243B53"/>
      <name val="Arial"/>
    </font>
    <font>
      <b/>
      <sz val="11"/>
      <color rgb="FFFFFFFF"/>
      <name val="Arial"/>
    </font>
    <font>
      <sz val="11"/>
      <color rgb="FF344E68"/>
      <name val="Arial"/>
    </font>
    <font>
      <sz val="11"/>
      <color rgb="FF526579"/>
      <name val="Arial"/>
    </font>
  </fonts>
  <fills count="5">
    <fill>
      <patternFill patternType="none"/>
    </fill>
    <fill>
      <patternFill patternType="gray125"/>
    </fill>
    <fill>
      <patternFill patternType="solid">
        <fgColor rgb="FF243B53"/>
      </patternFill>
    </fill>
    <fill>
      <patternFill patternType="solid">
        <fgColor rgb="FFE7EDF3"/>
      </patternFill>
    </fill>
    <fill>
      <patternFill patternType="solid">
        <fgColor rgb="FFF3F5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 wrapText="1"/>
    </xf>
    <xf numFmtId="0" fontId="3" fillId="2" borderId="0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  <extLst>
        <ext uri="{C7286773-470A-42A8-94C5-96B5CB345126}">
          <ns1:xfComplement i="0"/>
        </ext>
      </extLst>
    </xf>
    <xf numFmtId="0" fontId="1" fillId="3" borderId="0" xfId="0" applyNumberFormat="1" applyFont="1" applyFill="1" applyBorder="1" applyAlignment="1">
      <alignment vertical="center"/>
    </xf>
    <xf numFmtId="0" fontId="4" fillId="3" borderId="0" xfId="0" applyNumberFormat="1" applyFont="1" applyFill="1" applyBorder="1" applyAlignment="1">
      <alignment vertical="center"/>
    </xf>
    <xf numFmtId="0" fontId="4" fillId="3" borderId="0" xfId="0" applyNumberFormat="1" applyFont="1" applyFill="1" applyBorder="1" applyAlignment="1">
      <alignment vertical="center" wrapText="1"/>
    </xf>
    <xf numFmtId="0" fontId="1" fillId="4" borderId="0" xfId="0" applyNumberFormat="1" applyFont="1" applyFill="1" applyBorder="1" applyAlignment="1">
      <alignment vertical="center"/>
    </xf>
    <xf numFmtId="0" fontId="5" fillId="4" borderId="0" xfId="0" applyNumberFormat="1" applyFont="1" applyFill="1" applyBorder="1" applyAlignment="1">
      <alignment vertical="center"/>
    </xf>
    <xf numFmtId="0" fontId="5" fillId="4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vertical="center" wrapText="1"/>
    </xf>
    <xf numFmtId="0" fontId="5" fillId="0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 applyAlignment="1">
      <alignment horizontal="center" vertical="center"/>
    </xf>
    <xf numFmtId="201" fontId="1" fillId="0" borderId="0" xfId="0" applyNumberFormat="1" applyFont="1" applyFill="1" applyBorder="1" applyAlignment="1">
      <alignment vertical="center"/>
    </xf>
    <xf numFmtId="0" fontId="1" fillId="3" borderId="0" xfId="0" applyNumberFormat="1" applyFont="1" applyFill="1" applyBorder="1" applyAlignment="1">
      <alignment vertical="center" wrapText="1"/>
    </xf>
  </cellXfs>
  <cellStyles count="1">
    <cellStyle name="Normal" xfId="0"/>
  </cellStyles>
  <dxfs count="812"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9B2C2C"/>
      </font>
      <fill>
        <patternFill patternType="solid">
          <bgColor rgb="FFFCE3E0"/>
        </patternFill>
      </fill>
    </dxf>
    <dxf>
      <font>
        <color rgb="FF526579"/>
      </font>
      <fill>
        <patternFill patternType="solid">
          <bgColor rgb="FFE9ECEF"/>
        </patternFill>
      </fill>
    </dxf>
    <dxf>
      <font>
        <color rgb="FF825600"/>
      </font>
      <fill>
        <patternFill patternType="solid">
          <bgColor rgb="FFFFF1CC"/>
        </patternFill>
      </fill>
    </dxf>
    <dxf>
      <font>
        <color rgb="FF825600"/>
      </font>
      <fill>
        <patternFill patternType="solid">
          <bgColor rgb="FFFFF1CC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8ed9010b1e483d" /><Relationship Type="http://schemas.openxmlformats.org/officeDocument/2006/relationships/theme" Target="/xl/theme/theme1.xml" Id="R23bb8a15ef634d4e" /><Relationship Type="http://schemas.microsoft.com/office/2022/11/relationships/FeaturePropertyBag" Target="/xl/featurePropertyBag/featurePropertyBag.xml" Id="Rc21d42c667d548f8" /><Relationship Type="http://schemas.openxmlformats.org/officeDocument/2006/relationships/sharedStrings" Target="/xl/sharedStrings.xml" Id="R18c632daa685406d" /><Relationship Type="http://schemas.openxmlformats.org/officeDocument/2006/relationships/worksheet" Target="/xl/worksheets/sheet1.xml" Id="R418ca1812bf84ba5" /><Relationship Type="http://schemas.openxmlformats.org/officeDocument/2006/relationships/worksheet" Target="/xl/worksheets/sheet2.xml" Id="R414c9d9282ca46bf" /><Relationship Type="http://schemas.openxmlformats.org/officeDocument/2006/relationships/worksheet" Target="/xl/worksheets/sheet3.xml" Id="R067f0974e5014559" /><Relationship Type="http://schemas.openxmlformats.org/officeDocument/2006/relationships/worksheet" Target="/xl/worksheets/sheet4.xml" Id="R902628571fb4450b" /><Relationship Type="http://schemas.openxmlformats.org/officeDocument/2006/relationships/worksheet" Target="/xl/worksheets/sheet5.xml" Id="Rca8ab9399dd24816" /><Relationship Type="http://schemas.openxmlformats.org/officeDocument/2006/relationships/worksheet" Target="/xl/worksheets/sheet6.xml" Id="R8b4cc988cb904378" /><Relationship Type="http://schemas.openxmlformats.org/officeDocument/2006/relationships/worksheet" Target="/xl/worksheets/sheet7.xml" Id="R7ec60e20dea4464b" /><Relationship Type="http://schemas.openxmlformats.org/officeDocument/2006/relationships/worksheet" Target="/xl/worksheets/sheet8.xml" Id="R0f47c3cf39a34aa2" /><Relationship Type="http://schemas.openxmlformats.org/officeDocument/2006/relationships/worksheet" Target="/xl/worksheets/sheet9.xml" Id="R639edcea61ed4d13" /><Relationship Type="http://schemas.openxmlformats.org/officeDocument/2006/relationships/worksheet" Target="/xl/worksheets/sheet10.xml" Id="R2650c7d6b5c94c8d" /><Relationship Type="http://schemas.openxmlformats.org/officeDocument/2006/relationships/worksheet" Target="/xl/worksheets/sheet11.xml" Id="R4a4625501aa845ac" /><Relationship Type="http://schemas.openxmlformats.org/officeDocument/2006/relationships/worksheet" Target="/xl/worksheets/sheet12.xml" Id="Re155801793df4da4" /><Relationship Type="http://schemas.openxmlformats.org/officeDocument/2006/relationships/worksheet" Target="/xl/worksheets/sheet13.xml" Id="Rf69b3055a3014007" /><Relationship Type="http://schemas.openxmlformats.org/officeDocument/2006/relationships/worksheet" Target="/xl/worksheets/sheet14.xml" Id="Rc46c0aae41164696" /><Relationship Type="http://schemas.openxmlformats.org/officeDocument/2006/relationships/worksheet" Target="/xl/worksheets/sheet15.xml" Id="R729a4a408f4c4a2d" /><Relationship Type="http://schemas.openxmlformats.org/officeDocument/2006/relationships/worksheet" Target="/xl/worksheets/sheet16.xml" Id="R6f0d603e900c456a" /><Relationship Type="http://schemas.openxmlformats.org/officeDocument/2006/relationships/worksheet" Target="/xl/worksheets/sheet17.xml" Id="R3ee25bea9e70440f" /><Relationship Type="http://schemas.openxmlformats.org/officeDocument/2006/relationships/worksheet" Target="/xl/worksheets/sheet18.xml" Id="R2b27829aa1c846e7" /><Relationship Type="http://schemas.openxmlformats.org/officeDocument/2006/relationships/worksheet" Target="/xl/worksheets/sheet19.xml" Id="Refa3850deb09484d" /><Relationship Type="http://schemas.openxmlformats.org/officeDocument/2006/relationships/worksheet" Target="/xl/worksheets/sheet20.xml" Id="Rf7c983182c3d4fa4" /><Relationship Type="http://schemas.openxmlformats.org/officeDocument/2006/relationships/worksheet" Target="/xl/worksheets/sheet21.xml" Id="R9aba4bab074147ac" /><Relationship Type="http://schemas.openxmlformats.org/officeDocument/2006/relationships/worksheet" Target="/xl/worksheets/sheet22.xml" Id="R9893949173f949fb" /><Relationship Type="http://schemas.openxmlformats.org/officeDocument/2006/relationships/worksheet" Target="/xl/worksheets/sheet23.xml" Id="R2ecc7edabfd5456b" /><Relationship Type="http://schemas.openxmlformats.org/officeDocument/2006/relationships/worksheet" Target="/xl/worksheets/sheet24.xml" Id="R84d8fc6a8dae418e" /><Relationship Type="http://schemas.openxmlformats.org/officeDocument/2006/relationships/worksheet" Target="/xl/worksheets/sheet25.xml" Id="Rbb8ebc37dbd94e0a" /><Relationship Type="http://schemas.openxmlformats.org/officeDocument/2006/relationships/worksheet" Target="/xl/worksheets/sheet26.xml" Id="R5ae1dc33a6524a63" /><Relationship Type="http://schemas.openxmlformats.org/officeDocument/2006/relationships/worksheet" Target="/xl/worksheets/sheet27.xml" Id="Rb061d44b76b24856" /><Relationship Type="http://schemas.openxmlformats.org/officeDocument/2006/relationships/worksheet" Target="/xl/worksheets/sheet28.xml" Id="Rc48568a1c8e54775" /><Relationship Type="http://schemas.openxmlformats.org/officeDocument/2006/relationships/worksheet" Target="/xl/worksheets/sheet29.xml" Id="R7c813adfc66e42eb" /><Relationship Type="http://schemas.openxmlformats.org/officeDocument/2006/relationships/worksheet" Target="/xl/worksheets/sheet30.xml" Id="R309b5950f7b443e8" /><Relationship Type="http://schemas.openxmlformats.org/officeDocument/2006/relationships/worksheet" Target="/xl/worksheets/sheet31.xml" Id="R2c0752e95c02400a" /><Relationship Type="http://schemas.openxmlformats.org/officeDocument/2006/relationships/worksheet" Target="/xl/worksheets/sheet32.xml" Id="R99e20ea1270446dc" /><Relationship Type="http://schemas.openxmlformats.org/officeDocument/2006/relationships/worksheet" Target="/xl/worksheets/sheet33.xml" Id="R589992ed0a4049db" /><Relationship Type="http://schemas.openxmlformats.org/officeDocument/2006/relationships/worksheet" Target="/xl/worksheets/sheet34.xml" Id="R8eccc0999c0d4824" /><Relationship Type="http://schemas.openxmlformats.org/officeDocument/2006/relationships/worksheet" Target="/xl/worksheets/sheet35.xml" Id="R8f62e14b1ca54e2b" /><Relationship Type="http://schemas.openxmlformats.org/officeDocument/2006/relationships/worksheet" Target="/xl/worksheets/sheet36.xml" Id="R169e3f88cc8048bf" /><Relationship Type="http://schemas.openxmlformats.org/officeDocument/2006/relationships/worksheet" Target="/xl/worksheets/sheet37.xml" Id="Rf0853980f4cf44ad" /><Relationship Type="http://schemas.openxmlformats.org/officeDocument/2006/relationships/worksheet" Target="/xl/worksheets/sheet38.xml" Id="R6a813538954a4184" /><Relationship Type="http://schemas.openxmlformats.org/officeDocument/2006/relationships/worksheet" Target="/xl/worksheets/sheet39.xml" Id="Rba9c41c9f69e49f2" /><Relationship Type="http://schemas.openxmlformats.org/officeDocument/2006/relationships/worksheet" Target="/xl/worksheets/sheet40.xml" Id="Red18109ff2874905" /><Relationship Type="http://schemas.openxmlformats.org/officeDocument/2006/relationships/worksheet" Target="/xl/worksheets/sheet41.xml" Id="R2cd7433e314d4118" /><Relationship Type="http://schemas.openxmlformats.org/officeDocument/2006/relationships/worksheet" Target="/xl/worksheets/sheet42.xml" Id="R998a0d06a5ed4f39" /><Relationship Type="http://schemas.openxmlformats.org/officeDocument/2006/relationships/worksheet" Target="/xl/worksheets/sheet43.xml" Id="R5c03974593b2493a" /><Relationship Type="http://schemas.openxmlformats.org/officeDocument/2006/relationships/worksheet" Target="/xl/worksheets/sheet44.xml" Id="Ra579439162ef4fa0" /><Relationship Type="http://schemas.openxmlformats.org/officeDocument/2006/relationships/worksheet" Target="/xl/worksheets/sheet45.xml" Id="R1593653de4b44111" /><Relationship Type="http://schemas.openxmlformats.org/officeDocument/2006/relationships/worksheet" Target="/xl/worksheets/sheet46.xml" Id="R4099a294f8e046ae" /><Relationship Type="http://schemas.openxmlformats.org/officeDocument/2006/relationships/worksheet" Target="/xl/worksheets/sheet47.xml" Id="R79d0b437673d484a" /><Relationship Type="http://schemas.openxmlformats.org/officeDocument/2006/relationships/worksheet" Target="/xl/worksheets/sheet48.xml" Id="R588d692152be4ab1" /><Relationship Type="http://schemas.openxmlformats.org/officeDocument/2006/relationships/worksheet" Target="/xl/worksheets/sheet49.xml" Id="R9942520517ee465c" /><Relationship Type="http://schemas.openxmlformats.org/officeDocument/2006/relationships/worksheet" Target="/xl/worksheets/sheet50.xml" Id="R5e0efab4c3564260" /><Relationship Type="http://schemas.openxmlformats.org/officeDocument/2006/relationships/worksheet" Target="/xl/worksheets/sheet51.xml" Id="Rb26b7146d27641ea" /><Relationship Type="http://schemas.openxmlformats.org/officeDocument/2006/relationships/worksheet" Target="/xl/worksheets/sheet52.xml" Id="R05c2d58185e444a5" /><Relationship Type="http://schemas.openxmlformats.org/officeDocument/2006/relationships/worksheet" Target="/xl/worksheets/sheet53.xml" Id="Rb90602b281c440db" /><Relationship Type="http://schemas.openxmlformats.org/officeDocument/2006/relationships/worksheet" Target="/xl/worksheets/sheet54.xml" Id="R764d17fe6cf940d9" /><Relationship Type="http://schemas.openxmlformats.org/officeDocument/2006/relationships/worksheet" Target="/xl/worksheets/sheet55.xml" Id="Rbfc6d6c8f1c14c31" /><Relationship Type="http://schemas.openxmlformats.org/officeDocument/2006/relationships/worksheet" Target="/xl/worksheets/sheet56.xml" Id="Rde844db490c84e75" /><Relationship Type="http://schemas.openxmlformats.org/officeDocument/2006/relationships/worksheet" Target="/xl/worksheets/sheet57.xml" Id="R24dbce6288914169" /><Relationship Type="http://schemas.openxmlformats.org/officeDocument/2006/relationships/worksheet" Target="/xl/worksheets/sheet58.xml" Id="R3a55eaf054e149ae" /><Relationship Type="http://schemas.openxmlformats.org/officeDocument/2006/relationships/worksheet" Target="/xl/worksheets/sheet59.xml" Id="R5704149616024532" /><Relationship Type="http://schemas.openxmlformats.org/officeDocument/2006/relationships/worksheet" Target="/xl/worksheets/sheet60.xml" Id="Rddf148a7dd6d4df2" /><Relationship Type="http://schemas.openxmlformats.org/officeDocument/2006/relationships/worksheet" Target="/xl/worksheets/sheet61.xml" Id="Rd73a9ce6883b4866" /><Relationship Type="http://schemas.openxmlformats.org/officeDocument/2006/relationships/worksheet" Target="/xl/worksheets/sheet62.xml" Id="R6aa1161aa3934194" /><Relationship Type="http://schemas.openxmlformats.org/officeDocument/2006/relationships/worksheet" Target="/xl/worksheets/sheet63.xml" Id="R4264d9f01449436e" /><Relationship Type="http://schemas.openxmlformats.org/officeDocument/2006/relationships/worksheet" Target="/xl/worksheets/sheet64.xml" Id="Rae5fb4af6d254b52" /><Relationship Type="http://schemas.openxmlformats.org/officeDocument/2006/relationships/worksheet" Target="/xl/worksheets/sheet65.xml" Id="R8cac2ddc93a84f22" /><Relationship Type="http://schemas.openxmlformats.org/officeDocument/2006/relationships/worksheet" Target="/xl/worksheets/sheet66.xml" Id="R45329f5daa0b4774" /><Relationship Type="http://schemas.openxmlformats.org/officeDocument/2006/relationships/worksheet" Target="/xl/worksheets/sheet67.xml" Id="R7d1cfa44d6a84b83" /><Relationship Type="http://schemas.openxmlformats.org/officeDocument/2006/relationships/worksheet" Target="/xl/worksheets/sheet68.xml" Id="R924f688e39814494" /><Relationship Type="http://schemas.openxmlformats.org/officeDocument/2006/relationships/worksheet" Target="/xl/worksheets/sheet69.xml" Id="R8cbbf6401edc424f" /><Relationship Type="http://schemas.openxmlformats.org/officeDocument/2006/relationships/worksheet" Target="/xl/worksheets/sheet70.xml" Id="R8b9a20c66b134372" /><Relationship Type="http://schemas.openxmlformats.org/officeDocument/2006/relationships/worksheet" Target="/xl/worksheets/sheet71.xml" Id="R27ec882fae604acd" /><Relationship Type="http://schemas.openxmlformats.org/officeDocument/2006/relationships/worksheet" Target="/xl/worksheets/sheet72.xml" Id="Refa0227a71724103" /><Relationship Type="http://schemas.openxmlformats.org/officeDocument/2006/relationships/worksheet" Target="/xl/worksheets/sheet73.xml" Id="Rfec54aa8aa3d4388" /><Relationship Type="http://schemas.openxmlformats.org/officeDocument/2006/relationships/worksheet" Target="/xl/worksheets/sheet74.xml" Id="Ra4614a60861a4c00" /><Relationship Type="http://schemas.openxmlformats.org/officeDocument/2006/relationships/worksheet" Target="/xl/worksheets/sheet75.xml" Id="Re2d44e04fbfb4f33" /><Relationship Type="http://schemas.openxmlformats.org/officeDocument/2006/relationships/worksheet" Target="/xl/worksheets/sheet76.xml" Id="Rb9446adb1e114df9" /><Relationship Type="http://schemas.openxmlformats.org/officeDocument/2006/relationships/worksheet" Target="/xl/worksheets/sheet77.xml" Id="R84dd343ac02c43fc" /><Relationship Type="http://schemas.openxmlformats.org/officeDocument/2006/relationships/worksheet" Target="/xl/worksheets/sheet78.xml" Id="R0d9bfb72cf6a4bb4" /><Relationship Type="http://schemas.openxmlformats.org/officeDocument/2006/relationships/worksheet" Target="/xl/worksheets/sheet79.xml" Id="Raeb1fd55cf24483a" /><Relationship Type="http://schemas.openxmlformats.org/officeDocument/2006/relationships/worksheet" Target="/xl/worksheets/sheet80.xml" Id="R142586d523084ee8" /><Relationship Type="http://schemas.openxmlformats.org/officeDocument/2006/relationships/worksheet" Target="/xl/worksheets/sheet81.xml" Id="Rff2b5a8369a64aab" /><Relationship Type="http://schemas.openxmlformats.org/officeDocument/2006/relationships/worksheet" Target="/xl/worksheets/sheet82.xml" Id="R285cfe7b5a364a74" /><Relationship Type="http://schemas.openxmlformats.org/officeDocument/2006/relationships/worksheet" Target="/xl/worksheets/sheet83.xml" Id="Ra0959ac57d2b4626" /><Relationship Type="http://schemas.openxmlformats.org/officeDocument/2006/relationships/worksheet" Target="/xl/worksheets/sheet84.xml" Id="R9a198f9c539f4f40" /><Relationship Type="http://schemas.openxmlformats.org/officeDocument/2006/relationships/worksheet" Target="/xl/worksheets/sheet85.xml" Id="Rac864529f88f4da0" /><Relationship Type="http://schemas.openxmlformats.org/officeDocument/2006/relationships/worksheet" Target="/xl/worksheets/sheet86.xml" Id="Rf745861f74ca43f6" /><Relationship Type="http://schemas.openxmlformats.org/officeDocument/2006/relationships/worksheet" Target="/xl/worksheets/sheet87.xml" Id="R144b0ea7da4e4d1b" /><Relationship Type="http://schemas.openxmlformats.org/officeDocument/2006/relationships/worksheet" Target="/xl/worksheets/sheet88.xml" Id="Rc2086a7553ba455c" /><Relationship Type="http://schemas.openxmlformats.org/officeDocument/2006/relationships/worksheet" Target="/xl/worksheets/sheet89.xml" Id="R7bc741a9e13c491a" /><Relationship Type="http://schemas.openxmlformats.org/officeDocument/2006/relationships/worksheet" Target="/xl/worksheets/sheet90.xml" Id="Rb35545c9f6fa46ca" /><Relationship Type="http://schemas.openxmlformats.org/officeDocument/2006/relationships/worksheet" Target="/xl/worksheets/sheet91.xml" Id="Rf43d51e144dc4831" /><Relationship Type="http://schemas.openxmlformats.org/officeDocument/2006/relationships/worksheet" Target="/xl/worksheets/sheet92.xml" Id="R56a3bf056cb9481b" /><Relationship Type="http://schemas.openxmlformats.org/officeDocument/2006/relationships/worksheet" Target="/xl/worksheets/sheet93.xml" Id="Rb52c66b42aaf4f8c" /><Relationship Type="http://schemas.openxmlformats.org/officeDocument/2006/relationships/worksheet" Target="/xl/worksheets/sheet94.xml" Id="R3463edb35c5e46fa" /><Relationship Type="http://schemas.openxmlformats.org/officeDocument/2006/relationships/worksheet" Target="/xl/worksheets/sheet95.xml" Id="R714aa2e9efc54ac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5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4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4</x:v>
      </x:c>
      <x:c r="D55" s="2" t="n">
        <x:f>COUNTIFS('物品定义'!$K$4:$K$10003,"confirmed")</x:f>
        <x:v>0</x:v>
      </x:c>
      <x:c r="E55" s="2" t="n">
        <x:f>COUNTIFS('物品定义'!$K$4:$K$10003,"candidate")</x:f>
        <x:v>4</x:v>
      </x:c>
      <x:c r="F55" s="2" t="n">
        <x:f>COUNTIFS('物品定义'!$K$4:$K$10003,"unverified")</x:f>
        <x:v>0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1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1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0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0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0</x:v>
      </x:c>
      <x:c r="D67" s="2" t="n">
        <x:f>COUNTIFS('Buff定义'!$J$4:$J$10003,"confirmed")</x:f>
        <x:v>0</x:v>
      </x:c>
      <x:c r="E67" s="2" t="n">
        <x:f>COUNTIFS('Buff定义'!$J$4:$J$10003,"candidate")</x:f>
        <x:v>0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0</x:v>
      </x:c>
      <x:c r="D68" s="2" t="n">
        <x:f>COUNTIFS('效果列表'!$I$4:$I$10003,"confirmed")</x:f>
        <x:v>0</x:v>
      </x:c>
      <x:c r="E68" s="2" t="n">
        <x:f>COUNTIFS('效果列表'!$I$4:$I$10003,"candidate")</x:f>
        <x:v>0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5</x:v>
      </x:c>
      <x:c r="D74" s="2" t="n">
        <x:f>COUNTIFS('掉落条目'!$I$4:$I$10003,"confirmed")</x:f>
        <x:v>0</x:v>
      </x:c>
      <x:c r="E74" s="2" t="n">
        <x:f>COUNTIFS('掉落条目'!$I$4:$I$10003,"candidate")</x:f>
        <x:v>5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15" hidden="0" customHeight="1">
      <x:c r="A9" s="19"/>
      <x:c r="B9" s="17"/>
      <x:c r="C9" s="17"/>
      <x:c r="D9" s="17"/>
      <x:c r="E9" s="16"/>
      <x:c r="F9" s="16"/>
      <x:c r="G9" s="2"/>
      <x:c r="H9" s="16"/>
      <x:c r="I9" s="17"/>
      <x:c r="J9" s="18"/>
      <x:c r="K9" s="18"/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8"/>
      <x:c r="M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8"/>
      <x:c r="M9" s="18"/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</x:v>
      </x:c>
      <x:c r="R4" s="18" t="str">
        <x:v>仅显式development配置使用的跨来源候选；未通过目标1.80行为/数值/真机验收，不进入正式发布。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</x:v>
      </x:c>
      <x:c r="R5" s="18" t="str">
        <x:v>仅显式development配置使用的跨来源候选；未通过目标1.80行为/数值/真机验收，不进入正式发布。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26.399999618530273" hidden="0" customHeight="1">
      <x:c r="A4" s="19" t="n">
        <x:v>1</x:v>
      </x:c>
      <x:c r="B4" s="17" t="str">
        <x:v>dev_map0_crop128_128</x:v>
      </x:c>
      <x:c r="C4" s="17" t="str">
        <x:v>开发地图0局部</x:v>
      </x:c>
      <x:c r="D4" s="17" t="str">
        <x:v>ordinary</x:v>
      </x:c>
      <x:c r="E4" s="16" t="n">
        <x:v>16</x:v>
      </x:c>
      <x:c r="F4" s="16" t="n">
        <x:v>16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8bc3c4db1edfddb3</x:v>
      </x:c>
      <x:c r="L4" s="17" t="str">
        <x:v>candidate</x:v>
      </x:c>
      <x:c r="M4" s="18" t="str">
        <x:v>client/assets/resources/development/maps/first-map.json；传奇1.80客户端/Map/0.map裁剪原格</x:v>
      </x:c>
      <x:c r="N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7" t="str">
        <x:v>dev_map0_crop128_128</x:v>
      </x:c>
      <x:c r="C4" s="16" t="n">
        <x:v>16</x:v>
      </x:c>
      <x:c r="D4" s="16" t="n">
        <x:v>16</x:v>
      </x:c>
      <x:c r="E4" s="17" t="str">
        <x:v>[{"x":0,"y":0},{"x":7,"y":3},{"x":8,"y":3},{"x":7,"y":4},{"x":8,"y":4},{"x":12,"y":4},{"x":13,"y":4},{"x":12,"y":5},{"x":13,"y":5},{"x":0,"y":7},{"x":1,"y":7},{"x":2,"y":7},{"x":0,"y":8},{"x":1,"y":8},{"x":2,"y":8},{"x":7,"y":14},{"x":7,"y":15}]</x:v>
      </x:c>
      <x:c r="F4" s="17" t="str">
        <x:v>blocked_xy_objects</x:v>
      </x:c>
      <x:c r="G4" s="17" t="str">
        <x:v>{"cell_width":48,"cell_height":32,"source_origin":{"x":128,"y":128}}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client/assets/resources/development/maps/first-map.json；传奇1.80客户端/Map/0.map裁剪原格</x:v>
      </x:c>
      <x:c r="L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client/assets/resources/development/maps/first-map.json；传奇1.80客户端/Map/0.map裁剪原格；最终策划案.md:普通怪10秒复活</x:v>
      </x:c>
      <x:c r="K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client/assets/resources/development/maps/first-map.json；传奇1.80客户端/Map/0.map裁剪原格；最终策划案.md:普通怪10秒复活</x:v>
      </x:c>
      <x:c r="K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client/assets/resources/development/maps/first-map.json；传奇1.80客户端/Map/0.map裁剪原格；最终策划案.md:普通怪10秒复活</x:v>
      </x:c>
      <x:c r="K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client/assets/resources/development/maps/first-map.json；传奇1.80客户端/Map/0.map裁剪原格；最终策划案.md:普通怪10秒复活</x:v>
      </x:c>
      <x:c r="K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client/assets/resources/development/maps/first-map.json；传奇1.80客户端/Map/0.map裁剪原格；最终策划案.md:普通怪10秒复活</x:v>
      </x:c>
      <x:c r="K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client/assets/resources/development/maps/first-map.json；传奇1.80客户端/Map/0.map裁剪原格；最终策划案.md:普通怪10秒复活</x:v>
      </x:c>
      <x:c r="K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client/assets/resources/development/maps/first-map.json；传奇1.80客户端/Map/0.map裁剪原格；最终策划案.md:普通怪10秒复活</x:v>
      </x:c>
      <x:c r="K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client/assets/resources/development/maps/first-map.json；传奇1.80客户端/Map/0.map裁剪原格；最终策划案.md:普通怪10秒复活</x:v>
      </x:c>
      <x:c r="K11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6"/>
      <x:c r="I5" s="16"/>
      <x:c r="J5" s="17"/>
      <x:c r="K5" s="17"/>
      <x:c r="L5" s="17"/>
      <x:c r="M5" s="17"/>
      <x:c r="N5" s="17"/>
      <x:c r="O5" s="17"/>
      <x:c r="P5" s="2"/>
      <x:c r="Q5" s="17"/>
      <x:c r="R5" s="18"/>
      <x:c r="S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6"/>
      <x:c r="I6" s="16"/>
      <x:c r="J6" s="17"/>
      <x:c r="K6" s="17"/>
      <x:c r="L6" s="17"/>
      <x:c r="M6" s="17"/>
      <x:c r="N6" s="17"/>
      <x:c r="O6" s="17"/>
      <x:c r="P6" s="2"/>
      <x:c r="Q6" s="17"/>
      <x:c r="R6" s="18"/>
      <x:c r="S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6"/>
      <x:c r="I7" s="16"/>
      <x:c r="J7" s="17"/>
      <x:c r="K7" s="17"/>
      <x:c r="L7" s="17"/>
      <x:c r="M7" s="17"/>
      <x:c r="N7" s="17"/>
      <x:c r="O7" s="17"/>
      <x:c r="P7" s="2"/>
      <x:c r="Q7" s="17"/>
      <x:c r="R7" s="18"/>
      <x:c r="S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6"/>
      <x:c r="I8" s="16"/>
      <x:c r="J8" s="17"/>
      <x:c r="K8" s="17"/>
      <x:c r="L8" s="17"/>
      <x:c r="M8" s="17"/>
      <x:c r="N8" s="17"/>
      <x:c r="O8" s="17"/>
      <x:c r="P8" s="2"/>
      <x:c r="Q8" s="17"/>
      <x:c r="R8" s="18"/>
      <x:c r="S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6"/>
      <x:c r="I9" s="16"/>
      <x:c r="J9" s="17"/>
      <x:c r="K9" s="17"/>
      <x:c r="L9" s="17"/>
      <x:c r="M9" s="17"/>
      <x:c r="N9" s="17"/>
      <x:c r="O9" s="17"/>
      <x:c r="P9" s="2"/>
      <x:c r="Q9" s="17"/>
      <x:c r="R9" s="18"/>
      <x:c r="S9" s="18"/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7"/>
      <x:c r="G4" s="2"/>
      <x:c r="H4" s="17"/>
      <x:c r="I4" s="18"/>
      <x:c r="J4" s="18"/>
    </x:row>
    <x:row r="5" ht="15" hidden="0" customHeight="1">
      <x:c r="A5" s="19"/>
      <x:c r="B5" s="16"/>
      <x:c r="C5" s="16"/>
      <x:c r="D5" s="17"/>
      <x:c r="E5" s="16"/>
      <x:c r="F5" s="17"/>
      <x:c r="G5" s="2"/>
      <x:c r="H5" s="17"/>
      <x:c r="I5" s="18"/>
      <x:c r="J5" s="18"/>
    </x:row>
    <x:row r="6" ht="15" hidden="0" customHeight="1">
      <x:c r="A6" s="19"/>
      <x:c r="B6" s="16"/>
      <x:c r="C6" s="16"/>
      <x:c r="D6" s="17"/>
      <x:c r="E6" s="16"/>
      <x:c r="F6" s="17"/>
      <x:c r="G6" s="2"/>
      <x:c r="H6" s="17"/>
      <x:c r="I6" s="18"/>
      <x:c r="J6" s="18"/>
    </x:row>
    <x:row r="7" ht="15" hidden="0" customHeight="1">
      <x:c r="A7" s="19"/>
      <x:c r="B7" s="16"/>
      <x:c r="C7" s="16"/>
      <x:c r="D7" s="17"/>
      <x:c r="E7" s="16"/>
      <x:c r="F7" s="17"/>
      <x:c r="G7" s="2"/>
      <x:c r="H7" s="17"/>
      <x:c r="I7" s="18"/>
      <x:c r="J7" s="18"/>
    </x:row>
    <x:row r="8" ht="15" hidden="0" customHeight="1">
      <x:c r="A8" s="19"/>
      <x:c r="B8" s="16"/>
      <x:c r="C8" s="16"/>
      <x:c r="D8" s="17"/>
      <x:c r="E8" s="16"/>
      <x:c r="F8" s="17"/>
      <x:c r="G8" s="2"/>
      <x:c r="H8" s="17"/>
      <x:c r="I8" s="18"/>
      <x:c r="J8" s="18"/>
    </x:row>
    <x:row r="9" ht="15" hidden="0" customHeight="1">
      <x:c r="A9" s="19"/>
      <x:c r="B9" s="16"/>
      <x:c r="C9" s="16"/>
      <x:c r="D9" s="17"/>
      <x:c r="E9" s="16"/>
      <x:c r="F9" s="17"/>
      <x:c r="G9" s="2"/>
      <x:c r="H9" s="17"/>
      <x:c r="I9" s="18"/>
      <x:c r="J9" s="18"/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7"/>
      <x:c r="H4" s="17"/>
      <x:c r="I4" s="17"/>
      <x:c r="J4" s="17"/>
      <x:c r="K4" s="18"/>
      <x:c r="L4" s="18"/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2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2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2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15" hidden="0" customHeight="1">
      <x:c r="A9" s="19"/>
      <x:c r="B9" s="16"/>
      <x:c r="C9" s="16"/>
      <x:c r="D9" s="17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str">
        <x:v>{"rule_version":1,"map_id":1,"monster_id":1,"pet_id":1,"players":[{"job_id":0,"definition_id":0,"hp":18,"mp":14,"attack_min":0,"attack_max":0,"defence":0,"attack_ms":1386,"move_ms":600},{"job_id":1,"definition_id":1,"hp":15,"mp":17,"attack_min":0,"attack_max":0,"defence":0,"attack_ms":1386,"move_ms":600},{"job_id":2,"definition_id":2,"hp":16,"mp":13,"attack_min":0,"attack_max":0,"defence":0,"attack_ms":1386,"move_ms":600}],"inventory_capacity":32,"initial_inventory":[218,218,193,35,36],"initial_bound_gold":0,"allow_free_dev_revive":true,"damage_formula":"development_range_minus_defence","recycle_test_gold_by_item":{"35":0,"36":0,"193":400,"218":50},"technical_parameters_notice":"32格/赠送清单/免费主动复活/等权子集是本次开发测试夹具。回收50/400仅借来源Price作绑定金币事务测试，不是正式分解值。","player_stats_source":"../SuprcodeCrystal/Shared/BaseStats.cs:14-68,200-239；level=1逐项Calculate；空手0..0；HumanObject.cs:186,1766-1768 attack=1400-14=1386,move=600","damage_scope_notice":"仅验证无幸运/命中/元素/Buff的源物理区间减固定防御子集。不是完整1.80伤害管线。","revive_notice":"开发测试行为，不是已核验正式死亡/复活规则；不收费、不掉经验、不掉装；健康重连不回血，主动操作幂等恢复。"}</x:v>
      </x:c>
      <x:c r="D4" s="17" t="str">
        <x:v>candidate</x:v>
      </x:c>
      <x:c r="E4" s="18" t="str">
        <x:v>用户2026-10-26授权1-5开发；../SuprcodeCrystal/Shared/BaseStats.cs:14-68,200-239；level=1逐项Calculate；空手0..0；HumanObject.cs:186,1766-1768 attack=1400-14=1386,move=600</x:v>
      </x:c>
      <x:c r="F4" s="18" t="str">
        <x:v>仅显式development配置使用的跨来源候选；未通过目标1.80行为/数值/真机验收，不进入正式发布。</x:v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