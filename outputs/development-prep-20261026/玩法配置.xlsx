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55d64440c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29979a24eadd476d"/>
    <x:sheet xmlns:r="http://schemas.openxmlformats.org/officeDocument/2006/relationships" name="四货币" sheetId="2" r:id="Rd15872cfa37546d9"/>
    <x:sheet xmlns:r="http://schemas.openxmlformats.org/officeDocument/2006/relationships" name="职业与固定形象" sheetId="3" r:id="Rd8e7ade54edd4841"/>
    <x:sheet xmlns:r="http://schemas.openxmlformats.org/officeDocument/2006/relationships" name="装备部位" sheetId="4" r:id="R65b1787e927e45ec"/>
    <x:sheet xmlns:r="http://schemas.openxmlformats.org/officeDocument/2006/relationships" name="品质与词条槽" sheetId="5" r:id="R89b5ae0cb12c4dac"/>
    <x:sheet xmlns:r="http://schemas.openxmlformats.org/officeDocument/2006/relationships" name="装备阶段" sheetId="6" r:id="R2d626453d6b4421d"/>
    <x:sheet xmlns:r="http://schemas.openxmlformats.org/officeDocument/2006/relationships" name="产品范围与基础约束" sheetId="7" r:id="R8b5434a04bac4550"/>
    <x:sheet xmlns:r="http://schemas.openxmlformats.org/officeDocument/2006/relationships" name="角色与仓库规则" sheetId="8" r:id="Ra31798710f024c98"/>
    <x:sheet xmlns:r="http://schemas.openxmlformats.org/officeDocument/2006/relationships" name="绑定判定事件" sheetId="9" r:id="R6f8012785c4b4a42"/>
    <x:sheet xmlns:r="http://schemas.openxmlformats.org/officeDocument/2006/relationships" name="绑定资源授权" sheetId="10" r:id="R1876eab79a524cb8"/>
    <x:sheet xmlns:r="http://schemas.openxmlformats.org/officeDocument/2006/relationships" name="双卡产品" sheetId="11" r:id="Rd295305fa2f84033"/>
    <x:sheet xmlns:r="http://schemas.openxmlformats.org/officeDocument/2006/relationships" name="双卡与托管权益" sheetId="12" r:id="R68d0332e34694561"/>
    <x:sheet xmlns:r="http://schemas.openxmlformats.org/officeDocument/2006/relationships" name="道具竞购规则" sheetId="13" r:id="R14bc423b2709443a"/>
    <x:sheet xmlns:r="http://schemas.openxmlformats.org/officeDocument/2006/relationships" name="金币撮合规则" sheetId="14" r:id="Rf38757f92719422a"/>
    <x:sheet xmlns:r="http://schemas.openxmlformats.org/officeDocument/2006/relationships" name="普通掉落互斥分类" sheetId="15" r:id="R1795e7453cc040d7"/>
    <x:sheet xmlns:r="http://schemas.openxmlformats.org/officeDocument/2006/relationships" name="保底与掉落限额规则" sheetId="16" r:id="Rf34caad4842c4b5e"/>
    <x:sheet xmlns:r="http://schemas.openxmlformats.org/officeDocument/2006/relationships" name="洗炼16词条池" sheetId="17" r:id="Rfb40a19a6fa9448a"/>
    <x:sheet xmlns:r="http://schemas.openxmlformats.org/officeDocument/2006/relationships" name="洗炼品质消耗" sheetId="18" r:id="R3bfba8ab6b10471a"/>
    <x:sheet xmlns:r="http://schemas.openxmlformats.org/officeDocument/2006/relationships" name="洗炼五档" sheetId="19" r:id="R204e3b064a3d4fd1"/>
    <x:sheet xmlns:r="http://schemas.openxmlformats.org/officeDocument/2006/relationships" name="洗炼锁槽费用" sheetId="20" r:id="R7d8c4d13ef9d4b54"/>
    <x:sheet xmlns:r="http://schemas.openxmlformats.org/officeDocument/2006/relationships" name="部位强化逐级候选" sheetId="21" r:id="Rf48f18d8be244075"/>
    <x:sheet xmlns:r="http://schemas.openxmlformats.org/officeDocument/2006/relationships" name="炼体七系候选" sheetId="22" r:id="R874d960fc63345e3"/>
    <x:sheet xmlns:r="http://schemas.openxmlformats.org/officeDocument/2006/relationships" name="炼体逐级概率" sheetId="23" r:id="Rb1abe7add6a74402"/>
    <x:sheet xmlns:r="http://schemas.openxmlformats.org/officeDocument/2006/relationships" name="初始幸运生成" sheetId="24" r:id="Rad50d1a01ae5465f"/>
    <x:sheet xmlns:r="http://schemas.openxmlformats.org/officeDocument/2006/relationships" name="用油逐级规则" sheetId="25" r:id="Red5f9b7c588840f6"/>
    <x:sheet xmlns:r="http://schemas.openxmlformats.org/officeDocument/2006/relationships" name="幸运一击贡献" sheetId="26" r:id="Rf4f5e47a06a447fd"/>
    <x:sheet xmlns:r="http://schemas.openxmlformats.org/officeDocument/2006/relationships" name="幸运11贡献位" sheetId="27" r:id="R9aaceb2371304631"/>
    <x:sheet xmlns:r="http://schemas.openxmlformats.org/officeDocument/2006/relationships" name="幸运结算与分解规则" sheetId="28" r:id="R81cb4e0b92ca4350"/>
    <x:sheet xmlns:r="http://schemas.openxmlformats.org/officeDocument/2006/relationships" name="矿种候选" sheetId="29" r:id="R6b689c1ee7194023"/>
    <x:sheet xmlns:r="http://schemas.openxmlformats.org/officeDocument/2006/relationships" name="矿区楼层候选" sheetId="30" r:id="Rb78b7061d87148cb"/>
    <x:sheet xmlns:r="http://schemas.openxmlformats.org/officeDocument/2006/relationships" name="矿石纯度档" sheetId="31" r:id="Rbc97a8ff928b4e93"/>
    <x:sheet xmlns:r="http://schemas.openxmlformats.org/officeDocument/2006/relationships" name="挖矿打造修理规则" sheetId="32" r:id="R040deac1ca3d4645"/>
    <x:sheet xmlns:r="http://schemas.openxmlformats.org/officeDocument/2006/relationships" name="等级档费用候选" sheetId="33" r:id="R4370743c75b54b30"/>
    <x:sheet xmlns:r="http://schemas.openxmlformats.org/officeDocument/2006/relationships" name="技能书分解候选" sheetId="34" r:id="Rc2ff6ad51d5f4540"/>
    <x:sheet xmlns:r="http://schemas.openxmlformats.org/officeDocument/2006/relationships" name="商城商品候选" sheetId="35" r:id="Re38e6c31797a4009"/>
    <x:sheet xmlns:r="http://schemas.openxmlformats.org/officeDocument/2006/relationships" name="挑战与副本规则" sheetId="36" r:id="R1e9a3657d3764ea6"/>
    <x:sheet xmlns:r="http://schemas.openxmlformats.org/officeDocument/2006/relationships" name="副本等级入口" sheetId="37" r:id="R7138dc2fc1714444"/>
    <x:sheet xmlns:r="http://schemas.openxmlformats.org/officeDocument/2006/relationships" name="镜像竞技规则" sheetId="38" r:id="R4736534700924f98"/>
    <x:sheet xmlns:r="http://schemas.openxmlformats.org/officeDocument/2006/relationships" name="竞技连胜积分" sheetId="39" r:id="R98dbfe4fe44248c8"/>
    <x:sheet xmlns:r="http://schemas.openxmlformats.org/officeDocument/2006/relationships" name="等级转生与任务规则" sheetId="40" r:id="R5c7661a3b9074e5c"/>
    <x:sheet xmlns:r="http://schemas.openxmlformats.org/officeDocument/2006/relationships" name="魂兽名录" sheetId="41" r:id="R65079e9903404cc8"/>
    <x:sheet xmlns:r="http://schemas.openxmlformats.org/officeDocument/2006/relationships" name="魂兽三池词条" sheetId="42" r:id="R22bf7dee501441a2"/>
    <x:sheet xmlns:r="http://schemas.openxmlformats.org/officeDocument/2006/relationships" name="魂兽勋章翅膀规则" sheetId="43" r:id="R6eddd4d6a0404829"/>
    <x:sheet xmlns:r="http://schemas.openxmlformats.org/officeDocument/2006/relationships" name="翅膀逐阶待定" sheetId="44" r:id="R7be18f66c44b49e6"/>
    <x:sheet xmlns:r="http://schemas.openxmlformats.org/officeDocument/2006/relationships" name="战令档位候选" sheetId="45" r:id="R09aa52083b2241d1"/>
    <x:sheet xmlns:r="http://schemas.openxmlformats.org/officeDocument/2006/relationships" name="战令奖励候选" sheetId="46" r:id="R0a42f2ab3e6f480d"/>
    <x:sheet xmlns:r="http://schemas.openxmlformats.org/officeDocument/2006/relationships" name="首充与广告候选" sheetId="47" r:id="Rc53f531a853641b5"/>
    <x:sheet xmlns:r="http://schemas.openxmlformats.org/officeDocument/2006/relationships" name="全来源预算候选" sheetId="48" r:id="Rc6db772d2bc44c17"/>
    <x:sheet xmlns:r="http://schemas.openxmlformats.org/officeDocument/2006/relationships" name="客户端显示与操作" sheetId="49" r:id="R324412749a9a4639"/>
    <x:sheet xmlns:r="http://schemas.openxmlformats.org/officeDocument/2006/relationships" name="职业基础与成长" sheetId="50" r:id="R7a235b2f13104779"/>
    <x:sheet xmlns:r="http://schemas.openxmlformats.org/officeDocument/2006/relationships" name="物品定义" sheetId="51" r:id="R1d19599022394158"/>
    <x:sheet xmlns:r="http://schemas.openxmlformats.org/officeDocument/2006/relationships" name="装备定义" sheetId="52" r:id="Rbc09aedc5e884043"/>
    <x:sheet xmlns:r="http://schemas.openxmlformats.org/officeDocument/2006/relationships" name="装备外观映射" sheetId="53" r:id="Rf361fdf839b74a79"/>
    <x:sheet xmlns:r="http://schemas.openxmlformats.org/officeDocument/2006/relationships" name="怪物定义" sheetId="54" r:id="Rcb585e94884641ca"/>
    <x:sheet xmlns:r="http://schemas.openxmlformats.org/officeDocument/2006/relationships" name="地图定义" sheetId="55" r:id="R9f5fa1315aa24ac6"/>
    <x:sheet xmlns:r="http://schemas.openxmlformats.org/officeDocument/2006/relationships" name="地图碰撞" sheetId="56" r:id="Rd14a63abb3b64fc9"/>
    <x:sheet xmlns:r="http://schemas.openxmlformats.org/officeDocument/2006/relationships" name="地图区域与NPC" sheetId="57" r:id="R5d318beb6be04f9a"/>
    <x:sheet xmlns:r="http://schemas.openxmlformats.org/officeDocument/2006/relationships" name="刷怪生成点" sheetId="58" r:id="Rf8b528d8519a4450"/>
    <x:sheet xmlns:r="http://schemas.openxmlformats.org/officeDocument/2006/relationships" name="NPC功能" sheetId="59" r:id="Raef31f0d46b248e2"/>
    <x:sheet xmlns:r="http://schemas.openxmlformats.org/officeDocument/2006/relationships" name="技能基础定义" sheetId="60" r:id="Rbf35baac298947d3"/>
    <x:sheet xmlns:r="http://schemas.openxmlformats.org/officeDocument/2006/relationships" name="技能逐级扩展" sheetId="61" r:id="R4355447172514317"/>
    <x:sheet xmlns:r="http://schemas.openxmlformats.org/officeDocument/2006/relationships" name="技能范围格模板" sheetId="62" r:id="R2dca357a6a2048cc"/>
    <x:sheet xmlns:r="http://schemas.openxmlformats.org/officeDocument/2006/relationships" name="Buff定义" sheetId="63" r:id="Rcc19327d36744b3e"/>
    <x:sheet xmlns:r="http://schemas.openxmlformats.org/officeDocument/2006/relationships" name="效果列表" sheetId="64" r:id="R2b7a6ceb73ad4ddf"/>
    <x:sheet xmlns:r="http://schemas.openxmlformats.org/officeDocument/2006/relationships" name="职业宠物模板" sheetId="65" r:id="R030cb3341b344cab"/>
    <x:sheet xmlns:r="http://schemas.openxmlformats.org/officeDocument/2006/relationships" name="宠物成长" sheetId="66" r:id="R915e42bcd0d04201"/>
    <x:sheet xmlns:r="http://schemas.openxmlformats.org/officeDocument/2006/relationships" name="逐级经验" sheetId="67" r:id="Rf0e24eb2ac144d72"/>
    <x:sheet xmlns:r="http://schemas.openxmlformats.org/officeDocument/2006/relationships" name="转生条件" sheetId="68" r:id="R852b8d9d8fa34d5c"/>
    <x:sheet xmlns:r="http://schemas.openxmlformats.org/officeDocument/2006/relationships" name="掉落池定义" sheetId="69" r:id="Rb561ffc817b34ed4"/>
    <x:sheet xmlns:r="http://schemas.openxmlformats.org/officeDocument/2006/relationships" name="掉落条目" sheetId="70" r:id="Rc3dc0833856940bc"/>
    <x:sheet xmlns:r="http://schemas.openxmlformats.org/officeDocument/2006/relationships" name="高品质随机掉落额度" sheetId="71" r:id="R4006ed8d46014fed"/>
    <x:sheet xmlns:r="http://schemas.openxmlformats.org/officeDocument/2006/relationships" name="装备分解金币与副产物" sheetId="72" r:id="Rb72f75cc9e724dbe"/>
    <x:sheet xmlns:r="http://schemas.openxmlformats.org/officeDocument/2006/relationships" name="词条阶段基数与上限" sheetId="73" r:id="R4c0bc58662fc4962"/>
    <x:sheet xmlns:r="http://schemas.openxmlformats.org/officeDocument/2006/relationships" name="锄头工具" sheetId="74" r:id="R302a2c9addb34c70"/>
    <x:sheet xmlns:r="http://schemas.openxmlformats.org/officeDocument/2006/relationships" name="图纸打造配方" sheetId="75" r:id="R281678abc54943d7"/>
    <x:sheet xmlns:r="http://schemas.openxmlformats.org/officeDocument/2006/relationships" name="修理配方" sheetId="76" r:id="R2e73b9edd7374f12"/>
    <x:sheet xmlns:r="http://schemas.openxmlformats.org/officeDocument/2006/relationships" name="BOSS与场次模板" sheetId="77" r:id="Rd07573472d174ebc"/>
    <x:sheet xmlns:r="http://schemas.openxmlformats.org/officeDocument/2006/relationships" name="讨伐链模板" sheetId="78" r:id="R4e51f7489202452c"/>
    <x:sheet xmlns:r="http://schemas.openxmlformats.org/officeDocument/2006/relationships" name="竞技赛季奖励与兑换" sheetId="79" r:id="R4abe9e25c3594304"/>
    <x:sheet xmlns:r="http://schemas.openxmlformats.org/officeDocument/2006/relationships" name="主线任务" sheetId="80" r:id="Rd9670dfebe1f49b2"/>
    <x:sheet xmlns:r="http://schemas.openxmlformats.org/officeDocument/2006/relationships" name="每日任务池" sheetId="81" r:id="Rd1636a55e46b4342"/>
    <x:sheet xmlns:r="http://schemas.openxmlformats.org/officeDocument/2006/relationships" name="永久成就" sheetId="82" r:id="R0313649dff254d09"/>
    <x:sheet xmlns:r="http://schemas.openxmlformats.org/officeDocument/2006/relationships" name="怪物图鉴条目" sheetId="83" r:id="R75c45d8870844f1b"/>
    <x:sheet xmlns:r="http://schemas.openxmlformats.org/officeDocument/2006/relationships" name="魂兽逐星价值与消耗" sheetId="84" r:id="R235c4c959f23402b"/>
    <x:sheet xmlns:r="http://schemas.openxmlformats.org/officeDocument/2006/relationships" name="勋章逐级配置" sheetId="85" r:id="Rb4c5175c340647ac"/>
    <x:sheet xmlns:r="http://schemas.openxmlformats.org/officeDocument/2006/relationships" name="奖励组定义" sheetId="86" r:id="R2787df3765e04b6c"/>
    <x:sheet xmlns:r="http://schemas.openxmlformats.org/officeDocument/2006/relationships" name="奖励组条目" sheetId="87" r:id="Re9f750d0f23941e2"/>
    <x:sheet xmlns:r="http://schemas.openxmlformats.org/officeDocument/2006/relationships" name="系统邮件模板" sheetId="88" r:id="R9faf3c66a48d4431"/>
    <x:sheet xmlns:r="http://schemas.openxmlformats.org/officeDocument/2006/relationships" name="属性单位与结算管线" sheetId="89" r:id="R7dd2a82d053048e7"/>
    <x:sheet xmlns:r="http://schemas.openxmlformats.org/officeDocument/2006/relationships" name="历史七档行为样本" sheetId="90" r:id="R245175e490094214"/>
    <x:sheet xmlns:r="http://schemas.openxmlformats.org/officeDocument/2006/relationships" name="历史样本隔离" sheetId="91" r:id="Rc195fe1fe8344fdc"/>
    <x:sheet xmlns:r="http://schemas.openxmlformats.org/officeDocument/2006/relationships" name="服务端权威规则" sheetId="92" r:id="Ra8575e7bfef34fee"/>
    <x:sheet xmlns:r="http://schemas.openxmlformats.org/officeDocument/2006/relationships" name="发布缺口" sheetId="93" r:id="R30a8341e665e42b1"/>
    <x:sheet xmlns:r="http://schemas.openxmlformats.org/officeDocument/2006/relationships" name="使用说明" sheetId="94" r:id="R84f4fd80da80434c"/>
    <x:sheet xmlns:r="http://schemas.openxmlformats.org/officeDocument/2006/relationships" name="开发首循环夹具" sheetId="95" r:id="Rc8ccdce83d7e47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94252c4e44f83" /><Relationship Type="http://schemas.openxmlformats.org/officeDocument/2006/relationships/theme" Target="/xl/theme/theme1.xml" Id="Rad095dfa98ee4fe1" /><Relationship Type="http://schemas.microsoft.com/office/2022/11/relationships/FeaturePropertyBag" Target="/xl/featurePropertyBag/featurePropertyBag.xml" Id="R58cd6a0a567448de" /><Relationship Type="http://schemas.openxmlformats.org/officeDocument/2006/relationships/sharedStrings" Target="/xl/sharedStrings.xml" Id="R1f1f7bafc6604349" /><Relationship Type="http://schemas.openxmlformats.org/officeDocument/2006/relationships/worksheet" Target="/xl/worksheets/sheet1.xml" Id="R29979a24eadd476d" /><Relationship Type="http://schemas.openxmlformats.org/officeDocument/2006/relationships/worksheet" Target="/xl/worksheets/sheet2.xml" Id="Rd15872cfa37546d9" /><Relationship Type="http://schemas.openxmlformats.org/officeDocument/2006/relationships/worksheet" Target="/xl/worksheets/sheet3.xml" Id="Rd8e7ade54edd4841" /><Relationship Type="http://schemas.openxmlformats.org/officeDocument/2006/relationships/worksheet" Target="/xl/worksheets/sheet4.xml" Id="R65b1787e927e45ec" /><Relationship Type="http://schemas.openxmlformats.org/officeDocument/2006/relationships/worksheet" Target="/xl/worksheets/sheet5.xml" Id="R89b5ae0cb12c4dac" /><Relationship Type="http://schemas.openxmlformats.org/officeDocument/2006/relationships/worksheet" Target="/xl/worksheets/sheet6.xml" Id="R2d626453d6b4421d" /><Relationship Type="http://schemas.openxmlformats.org/officeDocument/2006/relationships/worksheet" Target="/xl/worksheets/sheet7.xml" Id="R8b5434a04bac4550" /><Relationship Type="http://schemas.openxmlformats.org/officeDocument/2006/relationships/worksheet" Target="/xl/worksheets/sheet8.xml" Id="Ra31798710f024c98" /><Relationship Type="http://schemas.openxmlformats.org/officeDocument/2006/relationships/worksheet" Target="/xl/worksheets/sheet9.xml" Id="R6f8012785c4b4a42" /><Relationship Type="http://schemas.openxmlformats.org/officeDocument/2006/relationships/worksheet" Target="/xl/worksheets/sheet10.xml" Id="R1876eab79a524cb8" /><Relationship Type="http://schemas.openxmlformats.org/officeDocument/2006/relationships/worksheet" Target="/xl/worksheets/sheet11.xml" Id="Rd295305fa2f84033" /><Relationship Type="http://schemas.openxmlformats.org/officeDocument/2006/relationships/worksheet" Target="/xl/worksheets/sheet12.xml" Id="R68d0332e34694561" /><Relationship Type="http://schemas.openxmlformats.org/officeDocument/2006/relationships/worksheet" Target="/xl/worksheets/sheet13.xml" Id="R14bc423b2709443a" /><Relationship Type="http://schemas.openxmlformats.org/officeDocument/2006/relationships/worksheet" Target="/xl/worksheets/sheet14.xml" Id="Rf38757f92719422a" /><Relationship Type="http://schemas.openxmlformats.org/officeDocument/2006/relationships/worksheet" Target="/xl/worksheets/sheet15.xml" Id="R1795e7453cc040d7" /><Relationship Type="http://schemas.openxmlformats.org/officeDocument/2006/relationships/worksheet" Target="/xl/worksheets/sheet16.xml" Id="Rf34caad4842c4b5e" /><Relationship Type="http://schemas.openxmlformats.org/officeDocument/2006/relationships/worksheet" Target="/xl/worksheets/sheet17.xml" Id="Rfb40a19a6fa9448a" /><Relationship Type="http://schemas.openxmlformats.org/officeDocument/2006/relationships/worksheet" Target="/xl/worksheets/sheet18.xml" Id="R3bfba8ab6b10471a" /><Relationship Type="http://schemas.openxmlformats.org/officeDocument/2006/relationships/worksheet" Target="/xl/worksheets/sheet19.xml" Id="R204e3b064a3d4fd1" /><Relationship Type="http://schemas.openxmlformats.org/officeDocument/2006/relationships/worksheet" Target="/xl/worksheets/sheet20.xml" Id="R7d8c4d13ef9d4b54" /><Relationship Type="http://schemas.openxmlformats.org/officeDocument/2006/relationships/worksheet" Target="/xl/worksheets/sheet21.xml" Id="Rf48f18d8be244075" /><Relationship Type="http://schemas.openxmlformats.org/officeDocument/2006/relationships/worksheet" Target="/xl/worksheets/sheet22.xml" Id="R874d960fc63345e3" /><Relationship Type="http://schemas.openxmlformats.org/officeDocument/2006/relationships/worksheet" Target="/xl/worksheets/sheet23.xml" Id="Rb1abe7add6a74402" /><Relationship Type="http://schemas.openxmlformats.org/officeDocument/2006/relationships/worksheet" Target="/xl/worksheets/sheet24.xml" Id="Rad50d1a01ae5465f" /><Relationship Type="http://schemas.openxmlformats.org/officeDocument/2006/relationships/worksheet" Target="/xl/worksheets/sheet25.xml" Id="Red5f9b7c588840f6" /><Relationship Type="http://schemas.openxmlformats.org/officeDocument/2006/relationships/worksheet" Target="/xl/worksheets/sheet26.xml" Id="Rf4f5e47a06a447fd" /><Relationship Type="http://schemas.openxmlformats.org/officeDocument/2006/relationships/worksheet" Target="/xl/worksheets/sheet27.xml" Id="R9aaceb2371304631" /><Relationship Type="http://schemas.openxmlformats.org/officeDocument/2006/relationships/worksheet" Target="/xl/worksheets/sheet28.xml" Id="R81cb4e0b92ca4350" /><Relationship Type="http://schemas.openxmlformats.org/officeDocument/2006/relationships/worksheet" Target="/xl/worksheets/sheet29.xml" Id="R6b689c1ee7194023" /><Relationship Type="http://schemas.openxmlformats.org/officeDocument/2006/relationships/worksheet" Target="/xl/worksheets/sheet30.xml" Id="Rb78b7061d87148cb" /><Relationship Type="http://schemas.openxmlformats.org/officeDocument/2006/relationships/worksheet" Target="/xl/worksheets/sheet31.xml" Id="Rbc97a8ff928b4e93" /><Relationship Type="http://schemas.openxmlformats.org/officeDocument/2006/relationships/worksheet" Target="/xl/worksheets/sheet32.xml" Id="R040deac1ca3d4645" /><Relationship Type="http://schemas.openxmlformats.org/officeDocument/2006/relationships/worksheet" Target="/xl/worksheets/sheet33.xml" Id="R4370743c75b54b30" /><Relationship Type="http://schemas.openxmlformats.org/officeDocument/2006/relationships/worksheet" Target="/xl/worksheets/sheet34.xml" Id="Rc2ff6ad51d5f4540" /><Relationship Type="http://schemas.openxmlformats.org/officeDocument/2006/relationships/worksheet" Target="/xl/worksheets/sheet35.xml" Id="Re38e6c31797a4009" /><Relationship Type="http://schemas.openxmlformats.org/officeDocument/2006/relationships/worksheet" Target="/xl/worksheets/sheet36.xml" Id="R1e9a3657d3764ea6" /><Relationship Type="http://schemas.openxmlformats.org/officeDocument/2006/relationships/worksheet" Target="/xl/worksheets/sheet37.xml" Id="R7138dc2fc1714444" /><Relationship Type="http://schemas.openxmlformats.org/officeDocument/2006/relationships/worksheet" Target="/xl/worksheets/sheet38.xml" Id="R4736534700924f98" /><Relationship Type="http://schemas.openxmlformats.org/officeDocument/2006/relationships/worksheet" Target="/xl/worksheets/sheet39.xml" Id="R98dbfe4fe44248c8" /><Relationship Type="http://schemas.openxmlformats.org/officeDocument/2006/relationships/worksheet" Target="/xl/worksheets/sheet40.xml" Id="R5c7661a3b9074e5c" /><Relationship Type="http://schemas.openxmlformats.org/officeDocument/2006/relationships/worksheet" Target="/xl/worksheets/sheet41.xml" Id="R65079e9903404cc8" /><Relationship Type="http://schemas.openxmlformats.org/officeDocument/2006/relationships/worksheet" Target="/xl/worksheets/sheet42.xml" Id="R22bf7dee501441a2" /><Relationship Type="http://schemas.openxmlformats.org/officeDocument/2006/relationships/worksheet" Target="/xl/worksheets/sheet43.xml" Id="R6eddd4d6a0404829" /><Relationship Type="http://schemas.openxmlformats.org/officeDocument/2006/relationships/worksheet" Target="/xl/worksheets/sheet44.xml" Id="R7be18f66c44b49e6" /><Relationship Type="http://schemas.openxmlformats.org/officeDocument/2006/relationships/worksheet" Target="/xl/worksheets/sheet45.xml" Id="R09aa52083b2241d1" /><Relationship Type="http://schemas.openxmlformats.org/officeDocument/2006/relationships/worksheet" Target="/xl/worksheets/sheet46.xml" Id="R0a42f2ab3e6f480d" /><Relationship Type="http://schemas.openxmlformats.org/officeDocument/2006/relationships/worksheet" Target="/xl/worksheets/sheet47.xml" Id="Rc53f531a853641b5" /><Relationship Type="http://schemas.openxmlformats.org/officeDocument/2006/relationships/worksheet" Target="/xl/worksheets/sheet48.xml" Id="Rc6db772d2bc44c17" /><Relationship Type="http://schemas.openxmlformats.org/officeDocument/2006/relationships/worksheet" Target="/xl/worksheets/sheet49.xml" Id="R324412749a9a4639" /><Relationship Type="http://schemas.openxmlformats.org/officeDocument/2006/relationships/worksheet" Target="/xl/worksheets/sheet50.xml" Id="R7a235b2f13104779" /><Relationship Type="http://schemas.openxmlformats.org/officeDocument/2006/relationships/worksheet" Target="/xl/worksheets/sheet51.xml" Id="R1d19599022394158" /><Relationship Type="http://schemas.openxmlformats.org/officeDocument/2006/relationships/worksheet" Target="/xl/worksheets/sheet52.xml" Id="Rbc09aedc5e884043" /><Relationship Type="http://schemas.openxmlformats.org/officeDocument/2006/relationships/worksheet" Target="/xl/worksheets/sheet53.xml" Id="Rf361fdf839b74a79" /><Relationship Type="http://schemas.openxmlformats.org/officeDocument/2006/relationships/worksheet" Target="/xl/worksheets/sheet54.xml" Id="Rcb585e94884641ca" /><Relationship Type="http://schemas.openxmlformats.org/officeDocument/2006/relationships/worksheet" Target="/xl/worksheets/sheet55.xml" Id="R9f5fa1315aa24ac6" /><Relationship Type="http://schemas.openxmlformats.org/officeDocument/2006/relationships/worksheet" Target="/xl/worksheets/sheet56.xml" Id="Rd14a63abb3b64fc9" /><Relationship Type="http://schemas.openxmlformats.org/officeDocument/2006/relationships/worksheet" Target="/xl/worksheets/sheet57.xml" Id="R5d318beb6be04f9a" /><Relationship Type="http://schemas.openxmlformats.org/officeDocument/2006/relationships/worksheet" Target="/xl/worksheets/sheet58.xml" Id="Rf8b528d8519a4450" /><Relationship Type="http://schemas.openxmlformats.org/officeDocument/2006/relationships/worksheet" Target="/xl/worksheets/sheet59.xml" Id="Raef31f0d46b248e2" /><Relationship Type="http://schemas.openxmlformats.org/officeDocument/2006/relationships/worksheet" Target="/xl/worksheets/sheet60.xml" Id="Rbf35baac298947d3" /><Relationship Type="http://schemas.openxmlformats.org/officeDocument/2006/relationships/worksheet" Target="/xl/worksheets/sheet61.xml" Id="R4355447172514317" /><Relationship Type="http://schemas.openxmlformats.org/officeDocument/2006/relationships/worksheet" Target="/xl/worksheets/sheet62.xml" Id="R2dca357a6a2048cc" /><Relationship Type="http://schemas.openxmlformats.org/officeDocument/2006/relationships/worksheet" Target="/xl/worksheets/sheet63.xml" Id="Rcc19327d36744b3e" /><Relationship Type="http://schemas.openxmlformats.org/officeDocument/2006/relationships/worksheet" Target="/xl/worksheets/sheet64.xml" Id="R2b7a6ceb73ad4ddf" /><Relationship Type="http://schemas.openxmlformats.org/officeDocument/2006/relationships/worksheet" Target="/xl/worksheets/sheet65.xml" Id="R030cb3341b344cab" /><Relationship Type="http://schemas.openxmlformats.org/officeDocument/2006/relationships/worksheet" Target="/xl/worksheets/sheet66.xml" Id="R915e42bcd0d04201" /><Relationship Type="http://schemas.openxmlformats.org/officeDocument/2006/relationships/worksheet" Target="/xl/worksheets/sheet67.xml" Id="Rf0e24eb2ac144d72" /><Relationship Type="http://schemas.openxmlformats.org/officeDocument/2006/relationships/worksheet" Target="/xl/worksheets/sheet68.xml" Id="R852b8d9d8fa34d5c" /><Relationship Type="http://schemas.openxmlformats.org/officeDocument/2006/relationships/worksheet" Target="/xl/worksheets/sheet69.xml" Id="Rb561ffc817b34ed4" /><Relationship Type="http://schemas.openxmlformats.org/officeDocument/2006/relationships/worksheet" Target="/xl/worksheets/sheet70.xml" Id="Rc3dc0833856940bc" /><Relationship Type="http://schemas.openxmlformats.org/officeDocument/2006/relationships/worksheet" Target="/xl/worksheets/sheet71.xml" Id="R4006ed8d46014fed" /><Relationship Type="http://schemas.openxmlformats.org/officeDocument/2006/relationships/worksheet" Target="/xl/worksheets/sheet72.xml" Id="Rb72f75cc9e724dbe" /><Relationship Type="http://schemas.openxmlformats.org/officeDocument/2006/relationships/worksheet" Target="/xl/worksheets/sheet73.xml" Id="R4c0bc58662fc4962" /><Relationship Type="http://schemas.openxmlformats.org/officeDocument/2006/relationships/worksheet" Target="/xl/worksheets/sheet74.xml" Id="R302a2c9addb34c70" /><Relationship Type="http://schemas.openxmlformats.org/officeDocument/2006/relationships/worksheet" Target="/xl/worksheets/sheet75.xml" Id="R281678abc54943d7" /><Relationship Type="http://schemas.openxmlformats.org/officeDocument/2006/relationships/worksheet" Target="/xl/worksheets/sheet76.xml" Id="R2e73b9edd7374f12" /><Relationship Type="http://schemas.openxmlformats.org/officeDocument/2006/relationships/worksheet" Target="/xl/worksheets/sheet77.xml" Id="Rd07573472d174ebc" /><Relationship Type="http://schemas.openxmlformats.org/officeDocument/2006/relationships/worksheet" Target="/xl/worksheets/sheet78.xml" Id="R4e51f7489202452c" /><Relationship Type="http://schemas.openxmlformats.org/officeDocument/2006/relationships/worksheet" Target="/xl/worksheets/sheet79.xml" Id="R4abe9e25c3594304" /><Relationship Type="http://schemas.openxmlformats.org/officeDocument/2006/relationships/worksheet" Target="/xl/worksheets/sheet80.xml" Id="Rd9670dfebe1f49b2" /><Relationship Type="http://schemas.openxmlformats.org/officeDocument/2006/relationships/worksheet" Target="/xl/worksheets/sheet81.xml" Id="Rd1636a55e46b4342" /><Relationship Type="http://schemas.openxmlformats.org/officeDocument/2006/relationships/worksheet" Target="/xl/worksheets/sheet82.xml" Id="R0313649dff254d09" /><Relationship Type="http://schemas.openxmlformats.org/officeDocument/2006/relationships/worksheet" Target="/xl/worksheets/sheet83.xml" Id="R75c45d8870844f1b" /><Relationship Type="http://schemas.openxmlformats.org/officeDocument/2006/relationships/worksheet" Target="/xl/worksheets/sheet84.xml" Id="R235c4c959f23402b" /><Relationship Type="http://schemas.openxmlformats.org/officeDocument/2006/relationships/worksheet" Target="/xl/worksheets/sheet85.xml" Id="Rb4c5175c340647ac" /><Relationship Type="http://schemas.openxmlformats.org/officeDocument/2006/relationships/worksheet" Target="/xl/worksheets/sheet86.xml" Id="R2787df3765e04b6c" /><Relationship Type="http://schemas.openxmlformats.org/officeDocument/2006/relationships/worksheet" Target="/xl/worksheets/sheet87.xml" Id="Re9f750d0f23941e2" /><Relationship Type="http://schemas.openxmlformats.org/officeDocument/2006/relationships/worksheet" Target="/xl/worksheets/sheet88.xml" Id="R9faf3c66a48d4431" /><Relationship Type="http://schemas.openxmlformats.org/officeDocument/2006/relationships/worksheet" Target="/xl/worksheets/sheet89.xml" Id="R7dd2a82d053048e7" /><Relationship Type="http://schemas.openxmlformats.org/officeDocument/2006/relationships/worksheet" Target="/xl/worksheets/sheet90.xml" Id="R245175e490094214" /><Relationship Type="http://schemas.openxmlformats.org/officeDocument/2006/relationships/worksheet" Target="/xl/worksheets/sheet91.xml" Id="Rc195fe1fe8344fdc" /><Relationship Type="http://schemas.openxmlformats.org/officeDocument/2006/relationships/worksheet" Target="/xl/worksheets/sheet92.xml" Id="Ra8575e7bfef34fee" /><Relationship Type="http://schemas.openxmlformats.org/officeDocument/2006/relationships/worksheet" Target="/xl/worksheets/sheet93.xml" Id="R30a8341e665e42b1" /><Relationship Type="http://schemas.openxmlformats.org/officeDocument/2006/relationships/worksheet" Target="/xl/worksheets/sheet94.xml" Id="R84f4fd80da80434c" /><Relationship Type="http://schemas.openxmlformats.org/officeDocument/2006/relationships/worksheet" Target="/xl/worksheets/sheet95.xml" Id="Rc8ccdce83d7e47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24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23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25</x:v>
      </x:c>
      <x:c r="D55" s="2" t="n">
        <x:f>COUNTIFS('物品定义'!$K$4:$K$10003,"confirmed")</x:f>
        <x:v>0</x:v>
      </x:c>
      <x:c r="E55" s="2" t="n">
        <x:f>COUNTIFS('物品定义'!$K$4:$K$10003,"candidate")</x:f>
        <x:v>24</x:v>
      </x:c>
      <x:c r="F55" s="2" t="n">
        <x:f>COUNTIFS('物品定义'!$K$4:$K$10003,"unverified")</x:f>
        <x:v>1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20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20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57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57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3</x:v>
      </x:c>
      <x:c r="D67" s="2" t="n">
        <x:f>COUNTIFS('Buff定义'!$J$4:$J$10003,"confirmed")</x:f>
        <x:v>0</x:v>
      </x:c>
      <x:c r="E67" s="2" t="n">
        <x:f>COUNTIFS('Buff定义'!$J$4:$J$10003,"candidate")</x:f>
        <x:v>3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3</x:v>
      </x:c>
      <x:c r="D68" s="2" t="n">
        <x:f>COUNTIFS('效果列表'!$I$4:$I$10003,"confirmed")</x:f>
        <x:v>0</x:v>
      </x:c>
      <x:c r="E68" s="2" t="n">
        <x:f>COUNTIFS('效果列表'!$I$4:$I$10003,"candidate")</x:f>
        <x:v>3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  <x:row r="25" ht="56" customHeight="1">
      <x:c r="A25" s="19" t="n">
        <x:v>22</x:v>
      </x:c>
      <x:c r="B25" s="17" t="str">
        <x:v>development_skill_book_14</x:v>
      </x:c>
      <x:c r="C25" s="17" t="str">
        <x:v>《幽灵盾》</x:v>
      </x:c>
      <x:c r="D25" s="17" t="str">
        <x:v>gold</x:v>
      </x:c>
      <x:c r="E25" s="16"/>
      <x:c r="F25" s="16" t="n">
        <x:v>1</x:v>
      </x:c>
      <x:c r="G25" s="9" t="b">
        <x:v>1</x:v>
      </x:c>
      <x:c r="H25" s="16"/>
      <x:c r="I25" s="17" t="str">
        <x:v>candidate</x:v>
      </x:c>
      <x:c r="J25" s="18" t="str">
        <x:v>资料参考/myf/Mud2/DB/ApexM2_stditems.csv:30 Price；本作首测开发候选</x:v>
      </x:c>
      <x:c r="K25" s="18" t="str">
        <x:v>MYF原Price仅为开发报价候选；NPC购入来源禁拆书页，不认证来源服实际价格。</x:v>
      </x:c>
      <x:c r="L25" s="17" t="n">
        <x:v>3500</x:v>
      </x:c>
    </x:row>
    <x:row r="26" ht="56" customHeight="1">
      <x:c r="A26" s="19" t="n">
        <x:v>23</x:v>
      </x:c>
      <x:c r="B26" s="17" t="str">
        <x:v>development_skill_book_15</x:v>
      </x:c>
      <x:c r="C26" s="17" t="str">
        <x:v>《神圣战甲术》</x:v>
      </x:c>
      <x:c r="D26" s="17" t="str">
        <x:v>gold</x:v>
      </x:c>
      <x:c r="E26" s="16"/>
      <x:c r="F26" s="16" t="n">
        <x:v>1</x:v>
      </x:c>
      <x:c r="G26" s="9" t="b">
        <x:v>1</x:v>
      </x:c>
      <x:c r="H26" s="16"/>
      <x:c r="I26" s="17" t="str">
        <x:v>candidate</x:v>
      </x:c>
      <x:c r="J26" s="18" t="str">
        <x:v>资料参考/myf/Mud2/DB/ApexM2_stditems.csv:31 Price；本作首测开发候选</x:v>
      </x:c>
      <x:c r="K26" s="18" t="str">
        <x:v>MYF原Price仅为开发报价候选；NPC购入来源禁拆书页，不认证来源服实际价格。</x:v>
      </x:c>
      <x:c r="L26" s="17" t="n">
        <x:v>4500</x:v>
      </x:c>
    </x:row>
    <x:row r="27" ht="56" customHeight="1">
      <x:c r="A27" s="19" t="n">
        <x:v>24</x:v>
      </x:c>
      <x:c r="B27" s="17" t="str">
        <x:v>development_skill_book_31</x:v>
      </x:c>
      <x:c r="C27" s="17" t="str">
        <x:v>《魔法盾》</x:v>
      </x:c>
      <x:c r="D27" s="17" t="str">
        <x:v>gold</x:v>
      </x:c>
      <x:c r="E27" s="16"/>
      <x:c r="F27" s="16" t="n">
        <x:v>1</x:v>
      </x:c>
      <x:c r="G27" s="9" t="b">
        <x:v>1</x:v>
      </x:c>
      <x:c r="H27" s="16"/>
      <x:c r="I27" s="17" t="str">
        <x:v>candidate</x:v>
      </x:c>
      <x:c r="J27" s="18" t="str">
        <x:v>资料参考/myf/Mud2/DB/ApexM2_stditems.csv:20 Price；本作首测开发候选</x:v>
      </x:c>
      <x:c r="K27" s="18" t="str">
        <x:v>MYF原Price仅为开发报价候选；NPC购入来源禁拆书页，不认证来源服实际价格。</x:v>
      </x:c>
      <x:c r="L27" s="17" t="n">
        <x:v>15000</x:v>
      </x:c>
    </x:row>
    <x:row r="28" ht="56" customHeight="1">
      <x:c r="A28" s="19">
        <x:v>25</x:v>
      </x:c>
      <x:c r="B28" s="17" t="inlineStr">
        <x:is>
          <x:t xml:space="preserve">development_skill_book_8</x:t>
        </x:is>
      </x:c>
      <x:c r="C28" s="17" t="inlineStr">
        <x:is>
          <x:t xml:space="preserve">《抗拒火环》</x:t>
        </x:is>
      </x:c>
      <x:c r="D28" s="17" t="inlineStr">
        <x:is>
          <x:t xml:space="preserve">gold</x:t>
        </x:is>
      </x:c>
      <x:c r="E28" s="16"/>
      <x:c r="F28" s="16">
        <x:v>1</x:v>
      </x:c>
      <x:c r="G28" s="9" t="b">
        <x:v>1</x:v>
      </x:c>
      <x:c r="H28" s="16"/>
      <x:c r="I28" s="17" t="inlineStr">
        <x:is>
          <x:t xml:space="preserve">candidate</x:t>
        </x:is>
      </x:c>
      <x:c r="J28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8" s="18" t="inlineStr">
        <x:is>
          <x:t xml:space="preserve">MYF原Price仅为开发报价候选；NPC购入来源禁拆书页，不认证来源服实际价格。</x:t>
        </x:is>
      </x:c>
      <x:c r="L28" s="17">
        <x:v>800</x:v>
      </x:c>
    </x:row>
    <x:row r="29" ht="56" customHeight="1">
      <x:c r="A29" s="19">
        <x:v>26</x:v>
      </x:c>
      <x:c r="B29" s="17" t="inlineStr">
        <x:is>
          <x:t xml:space="preserve">development_skill_book_27</x:t>
        </x:is>
      </x:c>
      <x:c r="C29" s="17" t="inlineStr">
        <x:is>
          <x:t xml:space="preserve">《野蛮冲撞》</x:t>
        </x:is>
      </x:c>
      <x:c r="D29" s="17" t="inlineStr">
        <x:is>
          <x:t xml:space="preserve">gold</x:t>
        </x:is>
      </x:c>
      <x:c r="E29" s="16"/>
      <x:c r="F29" s="16">
        <x:v>1</x:v>
      </x:c>
      <x:c r="G29" s="9" t="b">
        <x:v>1</x:v>
      </x:c>
      <x:c r="H29" s="16"/>
      <x:c r="I29" s="17" t="inlineStr">
        <x:is>
          <x:t xml:space="preserve">candidate</x:t>
        </x:is>
      </x:c>
      <x:c r="J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9" s="18" t="inlineStr">
        <x:is>
          <x:t xml:space="preserve">MYF原Price仅为开发报价候选；NPC购入来源禁拆书页，不认证来源服实际价格。</x:t>
        </x:is>
      </x:c>
      <x:c r="L29" s="17">
        <x:v>12000</x:v>
      </x:c>
    </x:row>
    <x:row r="30" ht="56" customHeight="1">
      <x:c r="A30" s="19">
        <x:v>27</x:v>
      </x:c>
      <x:c r="B30" s="17" t="inlineStr">
        <x:is>
          <x:t xml:space="preserve">skill_book_21</x:t>
        </x:is>
      </x:c>
      <x:c r="C30" s="17" t="inlineStr">
        <x:is>
          <x:t xml:space="preserve">《瞬息移动》</x:t>
        </x:is>
      </x:c>
      <x:c r="D30" s="17" t="inlineStr">
        <x:is>
          <x:t xml:space="preserve">gold</x:t>
        </x:is>
      </x:c>
      <x:c r="E30" s="16"/>
      <x:c r="F30" s="16">
        <x:v>1</x:v>
      </x:c>
      <x:c r="G30" s="9" t="b">
        <x:v>1</x:v>
      </x:c>
      <x:c r="H30" s="16"/>
      <x:c r="I30" s="17" t="inlineStr">
        <x:is>
          <x:t xml:space="preserve">candidate</x:t>
        </x:is>
      </x:c>
      <x:c r="J30" s="18" t="inlineStr">
        <x:is>
          <x:t xml:space="preserve">MYF Mud2/DB/ApexM2_stditems.csv:1,15（Idx13、Stdmode4、原名瞬息移动、Price2000）；仅开发来源候选，非原服实际成交认证</x:t>
        </x:is>
      </x:c>
      <x:c r="K30" s="18" t="inlineStr">
        <x:is>
          <x:t xml:space="preserve">沿既有金币绑定优先、产物绑定及NPC品质0禁拆页；此候选不认证原服实际成交。</x:t>
        </x:is>
      </x:c>
      <x:c r="L30" s="17">
        <x:v>2000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  <x:row r="25" ht="56" customHeight="1">
      <x:c r="A25" s="19" t="n">
        <x:v>28</x:v>
      </x:c>
      <x:c r="B25" s="17" t="str">
        <x:v>skill_book_14</x:v>
      </x:c>
      <x:c r="C25" s="17" t="str">
        <x:v>《幽灵盾》</x:v>
      </x:c>
      <x:c r="D25" s="17" t="str">
        <x:v>skill_book</x:v>
      </x:c>
      <x:c r="E25" s="16" t="n">
        <x:v>1</x:v>
      </x:c>
      <x:c r="F25" s="16"/>
      <x:c r="G25" s="16" t="n">
        <x:v>1</x:v>
      </x:c>
      <x:c r="H25" s="16" t="n">
        <x:v>0</x:v>
      </x:c>
      <x:c r="I25" s="17" t="str">
        <x:v>学习与升级对应技能；来源按实例保存，商店/赠书不可拆页</x:v>
      </x:c>
      <x:c r="J25" s="17"/>
      <x:c r="K25" s="17" t="str">
        <x:v>candidate</x:v>
      </x:c>
      <x:c r="L25" s="18" t="str">
        <x:v>资料参考/myf/Mud2/DB/ApexM2_stditems.csv:30；docs/战斗状态与防御技能实施边界.md；资料参考/crystal/Server/MirObjects/HumanObject.cs与MirEnvir/Map.cs；开发候选，非目标1.80认证</x:v>
      </x:c>
      <x:c r="M25" s="18" t="str">
        <x:v>原始书身份候选；原像素图标尚待映射。NPC品质0、开发掉落品质另配为1，来源不由绑定推断。</x:v>
      </x:c>
    </x:row>
    <x:row r="26" ht="56" customHeight="1">
      <x:c r="A26" s="19" t="n">
        <x:v>29</x:v>
      </x:c>
      <x:c r="B26" s="17" t="str">
        <x:v>skill_book_15</x:v>
      </x:c>
      <x:c r="C26" s="17" t="str">
        <x:v>《神圣战甲术》</x:v>
      </x:c>
      <x:c r="D26" s="17" t="str">
        <x:v>skill_book</x:v>
      </x:c>
      <x:c r="E26" s="16" t="n">
        <x:v>1</x:v>
      </x:c>
      <x:c r="F26" s="16"/>
      <x:c r="G26" s="16" t="n">
        <x:v>1</x:v>
      </x:c>
      <x:c r="H26" s="16" t="n">
        <x:v>0</x:v>
      </x:c>
      <x:c r="I26" s="17" t="str">
        <x:v>学习与升级对应技能；来源按实例保存，商店/赠书不可拆页</x:v>
      </x:c>
      <x:c r="J26" s="17"/>
      <x:c r="K26" s="17" t="str">
        <x:v>candidate</x:v>
      </x:c>
      <x:c r="L26" s="18" t="str">
        <x:v>资料参考/myf/Mud2/DB/ApexM2_stditems.csv:31；docs/战斗状态与防御技能实施边界.md；资料参考/crystal/Server/MirObjects/HumanObject.cs与MirEnvir/Map.cs；开发候选，非目标1.80认证</x:v>
      </x:c>
      <x:c r="M26" s="18" t="str">
        <x:v>原始书身份候选；原像素图标尚待映射。NPC品质0、开发掉落品质另配为1，来源不由绑定推断。</x:v>
      </x:c>
    </x:row>
    <x:row r="27" ht="56" customHeight="1">
      <x:c r="A27" s="19" t="n">
        <x:v>18</x:v>
      </x:c>
      <x:c r="B27" s="17" t="str">
        <x:v>skill_book_31</x:v>
      </x:c>
      <x:c r="C27" s="17" t="str">
        <x:v>《魔法盾》</x:v>
      </x:c>
      <x:c r="D27" s="17" t="str">
        <x:v>skill_book</x:v>
      </x:c>
      <x:c r="E27" s="16" t="n">
        <x:v>1</x:v>
      </x:c>
      <x:c r="F27" s="16"/>
      <x:c r="G27" s="16" t="n">
        <x:v>1</x:v>
      </x:c>
      <x:c r="H27" s="16" t="n">
        <x:v>0</x:v>
      </x:c>
      <x:c r="I27" s="17" t="str">
        <x:v>学习与升级对应技能；来源按实例保存，商店/赠书不可拆页</x:v>
      </x:c>
      <x:c r="J27" s="17"/>
      <x:c r="K27" s="17" t="str">
        <x:v>candidate</x:v>
      </x:c>
      <x:c r="L27" s="18" t="str">
        <x:v>资料参考/myf/Mud2/DB/ApexM2_stditems.csv:20；docs/战斗状态与防御技能实施边界.md；资料参考/crystal/Server/MirObjects/HumanObject.cs与MirEnvir/Map.cs；开发候选，非目标1.80认证</x:v>
      </x:c>
      <x:c r="M27" s="18" t="str">
        <x:v>原始书身份候选；原像素图标尚待映射。NPC品质0、开发掉落品质另配为1，来源不由绑定推断。</x:v>
      </x:c>
    </x:row>
    <x:row r="28" ht="56" customHeight="1">
      <x:c r="A28" s="19" t="n">
        <x:v>187</x:v>
      </x:c>
      <x:c r="B28" s="17" t="str">
        <x:v>casting_supply_amulet</x:v>
      </x:c>
      <x:c r="C28" s="17" t="str">
        <x:v>护身符</x:v>
      </x:c>
      <x:c r="D28" s="17" t="str">
        <x:v>casting_supply</x:v>
      </x:c>
      <x:c r="E28" s="16"/>
      <x:c r="F28" s="16"/>
      <x:c r="G28" s="16" t="n">
        <x:v>1</x:v>
      </x:c>
      <x:c r="H28" s="16"/>
      <x:c r="I28" s="17" t="str">
        <x:v>道士防御法术的已装备消耗材料；独立材料槽；包数量待定时关闭</x:v>
      </x:c>
      <x:c r="J28" s="17"/>
      <x:c r="K28" s="17" t="str">
        <x:v>unverified</x:v>
      </x:c>
      <x:c r="L28" s="18" t="str">
        <x:v>资料参考/myf/Mud2/DB/ApexM2_stditems.csv:189；Crystal HumanObject.cs:6859-6868,1346-1375</x:v>
      </x:c>
      <x:c r="M28" s="18" t="str">
        <x:v>MYF Shape5/DuraMax1000不证明Crystal Shape0/Count1000。max_stack留空，casting_supply.enabled=false；未创建NPC护符商品，不能以0充当可用堆叠。</x:v>
      </x:c>
    </x:row>
    <x:row r="29" ht="56" customHeight="1">
      <x:c r="A29" s="19">
        <x:v>8</x:v>
      </x:c>
      <x:c r="B29" s="17" t="inlineStr">
        <x:is>
          <x:t xml:space="preserve">skill_book_8</x:t>
        </x:is>
      </x:c>
      <x:c r="C29" s="17" t="inlineStr">
        <x:is>
          <x:t xml:space="preserve">《抗拒火环》</x:t>
        </x:is>
      </x:c>
      <x:c r="D29" s="17" t="inlineStr">
        <x:is>
          <x:t xml:space="preserve">skill_book</x:t>
        </x:is>
      </x:c>
      <x:c r="E29" s="16">
        <x:v>1</x:v>
      </x:c>
      <x:c r="F29" s="16"/>
      <x:c r="G29" s="16">
        <x:v>1</x:v>
      </x:c>
      <x:c r="H29" s="16">
        <x:v>0</x:v>
      </x:c>
      <x:c r="I29" s="17" t="inlineStr">
        <x:is>
          <x:t xml:space="preserve">学习与升级对应技能；来源按实例保存，商店/赠书不可拆页</x:t>
        </x:is>
      </x:c>
      <x:c r="J29" s="17"/>
      <x:c r="K29" s="17" t="inlineStr">
        <x:is>
          <x:t xml:space="preserve">candidate</x:t>
        </x:is>
      </x:c>
      <x:c r="L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29" s="18" t="inlineStr">
        <x:is>
          <x:t xml:space="preserve">原始书身份候选；原像素图标尚待映射。NPC品质0、开发掉落品质另配为1，来源不由绑定推断。</x:t>
        </x:is>
      </x:c>
    </x:row>
    <x:row r="30" ht="56" customHeight="1">
      <x:c r="A30" s="19">
        <x:v>5</x:v>
      </x:c>
      <x:c r="B30" s="17" t="inlineStr">
        <x:is>
          <x:t xml:space="preserve">skill_book_27</x:t>
        </x:is>
      </x:c>
      <x:c r="C30" s="17" t="inlineStr">
        <x:is>
          <x:t xml:space="preserve">《野蛮冲撞》</x:t>
        </x:is>
      </x:c>
      <x:c r="D30" s="17" t="inlineStr">
        <x:is>
          <x:t xml:space="preserve">skill_book</x:t>
        </x:is>
      </x:c>
      <x:c r="E30" s="16">
        <x:v>1</x:v>
      </x:c>
      <x:c r="F30" s="16"/>
      <x:c r="G30" s="16">
        <x:v>1</x:v>
      </x:c>
      <x:c r="H30" s="16">
        <x:v>0</x:v>
      </x:c>
      <x:c r="I30" s="17" t="inlineStr">
        <x:is>
          <x:t xml:space="preserve">学习与升级对应技能；来源按实例保存，商店/赠书不可拆页</x:t>
        </x:is>
      </x:c>
      <x:c r="J30" s="17"/>
      <x:c r="K30" s="17" t="inlineStr">
        <x:is>
          <x:t xml:space="preserve">candidate</x:t>
        </x:is>
      </x:c>
      <x:c r="L30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30" s="18" t="inlineStr">
        <x:is>
          <x:t xml:space="preserve">原始书身份候选；原像素图标尚待映射。NPC品质0、开发掉落品质另配为1，来源不由绑定推断。</x:t>
        </x:is>
      </x:c>
    </x:row>
    <x:row r="31" ht="56" customHeight="1">
      <x:c r="A31" s="19">
        <x:v>13</x:v>
      </x:c>
      <x:c r="B31" s="17" t="inlineStr">
        <x:is>
          <x:t xml:space="preserve">skill_book_21</x:t>
        </x:is>
      </x:c>
      <x:c r="C31" s="17" t="inlineStr">
        <x:is>
          <x:t xml:space="preserve">《瞬息移动》</x:t>
        </x:is>
      </x:c>
      <x:c r="D31" s="17" t="inlineStr">
        <x:is>
          <x:t xml:space="preserve">skill_book</x:t>
        </x:is>
      </x:c>
      <x:c r="E31" s="16">
        <x:v>1</x:v>
      </x:c>
      <x:c r="F31" s="16"/>
      <x:c r="G31" s="16">
        <x:v>1</x:v>
      </x:c>
      <x:c r="H31" s="16">
        <x:v>0</x:v>
      </x:c>
      <x:c r="I31" s="17" t="inlineStr">
        <x:is>
          <x:t xml:space="preserve">学习与升级瞬息移动；实例来源/品质沿既有规则，NPC及初始赠书不得拆页</x:t>
        </x:is>
      </x:c>
      <x:c r="J31" s="17"/>
      <x:c r="K31" s="17" t="inlineStr">
        <x:is>
          <x:t xml:space="preserve">candidate</x:t>
        </x:is>
      </x:c>
      <x:c r="L31" s="18" t="inlineStr">
        <x:is>
          <x:t xml:space="preserve">MYF Mud2/DB/ApexM2_stditems.csv:1,15（Idx13、Stdmode4、原名瞬息移动、Price2000）；仅开发来源候选，非原服实际成交认证</x:t>
        </x:is>
      </x:c>
      <x:c r="M31" s="18" t="inlineStr">
        <x:is>
          <x:t xml:space="preserve">书13原身份候选，Price仅写商城独立价格行；不新增初始赠书，不把技能MP写成永久资产收费。</x:t>
        </x:is>
      </x:c>
    </x:row>
    <x:row r="32" ht="56" customHeight="1">
      <x:c r="A32" s="19">
        <x:v>25</x:v>
      </x:c>
      <x:c r="B32" s="17" t="inlineStr">
        <x:is>
          <x:t xml:space="preserve">skill_book_17</x:t>
        </x:is>
      </x:c>
      <x:c r="C32" s="17" t="inlineStr">
        <x:is>
          <x:t xml:space="preserve">《召唤骷髅》</x:t>
        </x:is>
      </x:c>
      <x:c r="D32" s="17" t="inlineStr">
        <x:is>
          <x:t xml:space="preserve">skill_book</x:t>
        </x:is>
      </x:c>
      <x:c r="E32" s="16">
        <x:v>1</x:v>
      </x:c>
      <x:c r="F32" s="16"/>
      <x:c r="G32" s="16">
        <x:v>1</x:v>
      </x:c>
      <x:c r="H32" s="16">
        <x:v>0</x:v>
      </x:c>
      <x:c r="I32" s="17" t="inlineStr">
        <x:is>
          <x:t xml:space="preserve">关闭的召唤候选书；不增加初始赠书或商店，正常学习与升级入口待后续验收</x:t>
        </x:is>
      </x:c>
      <x:c r="J32" s="17"/>
      <x:c r="K32" s="17" t="inlineStr">
        <x:is>
          <x:t xml:space="preserve">candidate</x:t>
        </x:is>
      </x:c>
      <x:c r="L32" s="18" t="inlineStr">
        <x:is>
          <x:t xml:space="preserve">MYF Mud2/DB/ApexM2_stditems.csv:27（Idx25/Stdmode4/原名召唤骷髅）；本任务候选，未新增价格行</x:t>
        </x:is>
      </x:c>
      <x:c r="M32" s="18" t="inlineStr">
        <x:is>
          <x:t xml:space="preserve">书25只由召唤独立catalog投影，不进入主22技能对应书表；未开17/购符/赠书/升级；护符187数量与售价继续未知。</x:t>
        </x:is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{"physical_attack_min":2,"physical_attack_max":5,"physical_defence_min":0,"physical_defence_max":0,"magic_defence_min":0,"magic_defence_max":0,"attack_speed":0}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{"physical_attack_min":0,"physical_attack_max":0,"physical_defence_min":2,"physical_defence_max":2,"magic_defence_min":0,"magic_defence_max":1,"attack_speed":0}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{"mp":0,"physical_attack_min":1,"physical_attack_max":2,"physical_defence_min":0,"physical_defence_max":0,"magic_defence":0,"accuracy":5,"agility":10,"undead":true,"can_push":true}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资料参考/myf/Mud2/DB/ApexM2_Monster.csv:13；client/assets/resources/development/manifest.json；资料参考/crystal/Server/MirDatabase/MonsterInfo.cs:39；资料参考/crystal/Server/MirObjects/MonsterObject.cs:1035-1093</x:v>
      </x:c>
      <x:c r="R4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{"mp":0,"physical_attack_min":10,"physical_attack_max":20,"physical_defence_min":10,"physical_defence_max":10,"magic_defence":10,"accuracy":15,"agility":20,"undead":true,"can_push":true}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资料参考/myf/Mud2/DB/ApexM2_Monster.csv:381；client/assets/resources/development/manifest.json；资料参考/crystal/Server/MirDatabase/MonsterInfo.cs:39；资料参考/crystal/Server/MirObjects/MonsterObject.cs:1035-1093</x:v>
      </x:c>
      <x:c r="R5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  <x:col min="15" max="15" width="60" hidden="0" customWidth="1"/>
    <x:col min="16" max="16" width="6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  <x:c r="O1" s="7" t="str">
        <x:v>地图投影与土层</x:v>
      </x:c>
      <x:c r="P1" s="7" t="str">
        <x:v>场边小型装饰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  <x:c r="O2" s="12" t="str">
        <x:v>visual_geometry</x:v>
      </x:c>
      <x:c r="P2" s="12" t="str">
        <x:v>decorations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  <x:c r="O3" s="15" t="str">
        <x:v>json / 必填 / client</x:v>
      </x:c>
      <x:c r="P3" s="15" t="str">
        <x:v>json / 必填 / client</x:v>
      </x:c>
    </x:row>
    <x:row r="4" ht="196" hidden="0" customHeight="1">
      <x:c r="A4" s="19" t="n">
        <x:v>1</x:v>
      </x:c>
      <x:c r="B4" s="17" t="str">
        <x:v>dev_map0_crop128_128</x:v>
      </x:c>
      <x:c r="C4" s="17" t="str">
        <x:v>林间战场</x:v>
      </x:c>
      <x:c r="D4" s="17" t="str">
        <x:v>ordinary</x:v>
      </x:c>
      <x:c r="E4" s="16" t="n">
        <x:v>17</x:v>
      </x:c>
      <x:c r="F4" s="16" t="n">
        <x:v>17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development-isometric17-open-v2</x:v>
      </x:c>
      <x:c r="L4" s="17" t="str">
        <x:v>candidate</x:v>
      </x:c>
      <x:c r="M4" s="18" t="str">
        <x:v>用户2026-10-27新要求：中央无大型遮挡物，四周少量小型代表性设施与装饰；原0.map只提供地板来源，原树阻挡不继续沿用；docs/17x17菱形地图实施边界.md</x:v>
      </x:c>
      <x:c r="N4" s="18" t="str">
        <x:v>17×17及菱形/土层保持；用户最新要求无大型遮挡，场边4件原尺寸独立小物。decorations只通过collision_cell_index引用唯一碰撞位置，不维护第二份摆放坐标。木制设施外观似井台，不认证原游戏正式名称；火盆本轮静态原帧。</x:v>
      </x:c>
      <x:c r="O4" s="17" t="str">
        <x:v>{"projection":"isometric_diamond","tile_width":64,"tile_height":32,"soil_thickness_px":48,"source_origin":{"x":128,"y":128}}</x:v>
      </x:c>
      <x:c r="P4" s="17" t="str">
        <x:v>[{"id":"edge_wood_fixture","frame":"Objects:9760","collision_cell_index":0},{"id":"edge_brazier","frame":"Objects:1127","collision_cell_index":1},{"id":"edge_sign","frame":"Objects:8898","collision_cell_index":2},{"id":"edge_grass_rock","frame":"Objects:7092","collision_cell_index":3}]</x:v>
      </x:c>
    </x:row>
    <x:row r="5" ht="196" hidden="0" customHeight="1">
      <x:c r="A5" s="19">
        <x:v>2</x:v>
      </x:c>
      <x:c r="B5" s="17" t="inlineStr">
        <x:is>
          <x:t xml:space="preserve">myf_source_map0_town</x:t>
        </x:is>
      </x:c>
      <x:c r="C5" s="17" t="inlineStr">
        <x:is>
          <x:t xml:space="preserve">比奇省</x:t>
        </x:is>
      </x:c>
      <x:c r="D5" s="17" t="inlineStr">
        <x:is>
          <x:t xml:space="preserve">town</x:t>
        </x:is>
      </x:c>
      <x:c r="E5" s="16">
        <x:v>700</x:v>
      </x:c>
      <x:c r="F5" s="16">
        <x:v>700</x:v>
      </x:c>
      <x:c r="G5" s="16">
        <x:v>1</x:v>
      </x:c>
      <x:c r="H5" s="16">
        <x:v>2</x:v>
      </x:c>
      <x:c r="I5" s="17" t="inlineStr">
        <x:is>
          <x:t xml:space="preserve">{"x":633,"y":613}</x:t>
        </x:is>
      </x:c>
      <x:c r="J5" s="17" t="inlineStr">
        <x:is>
          <x:t xml:space="preserve">source-maps/map-2/manifest</x:t>
        </x:is>
      </x:c>
      <x:c r="K5" s="17" t="inlineStr">
        <x:is>
          <x:t xml:space="preserve">myf-map0-2780766485d1-v1</x:t>
        </x:is>
      </x:c>
      <x:c r="L5" s="17" t="inlineStr">
        <x:is>
          <x:t xml:space="preserve">candidate</x:t>
        </x:is>
      </x:c>
      <x:c r="M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L5与StartPoint.txt原字节副本；跨来源开发候选，非目标1.80认证；MiniMap.txt:98图号101与mmap原帧100视觉候选对齐，原引擎编号基址未认证</x:t>
        </x:is>
      </x:c>
      <x:c r="N5" s="18" t="inlineStr">
        <x:is>
          <x:t xml:space="preserve">完整700×700来源地图，源坐标不裁剪；银杏/边界/比奇同属地图0。入口633,613仅取来源银杏传送坐标，不认证新生点。非战斗城镇原生48×32，与个人17×17菱形地图分开；门关闭候选，室内/NPC/实际切图业务另验收。</x:t>
        </x:is>
      </x:c>
      <x:c r="O5" s="17" t="inlineStr">
        <x:is>
          <x:t xml:space="preserve">{"projection":"source_rectangular","tile_width":48,"tile_height":32,"soil_thickness_px":0,"source_origin":{"x":0,"y":0},"chunk_size_cells":16,"source_map_code":"0","minimap":{"package":"mmap","raw_frame":100}}</x:t>
        </x:is>
      </x:c>
      <x:c r="P5" s="17" t="inlineStr">
        <x:is>
          <x:t xml:space="preserve">[]</x:t>
        </x:is>
      </x:c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12" hidden="0" customHeight="1">
      <x:c r="A4" s="19" t="n">
        <x:v>1</x:v>
      </x:c>
      <x:c r="B4" s="17" t="str">
        <x:v>dev_map0_crop128_128</x:v>
      </x:c>
      <x:c r="C4" s="16" t="n">
        <x:v>17</x:v>
      </x:c>
      <x:c r="D4" s="16" t="n">
        <x:v>17</x:v>
      </x:c>
      <x:c r="E4" s="17" t="str">
        <x:v>[{"x":1,"y":7},{"x":7,"y":1},{"x":15,"y":9},{"x":7,"y":15}]</x:v>
      </x:c>
      <x:c r="F4" s="17" t="str">
        <x:v>blocked_xy_objects</x:v>
      </x:c>
      <x:c r="G4" s="17" t="str">
        <x:v>{"geometry_reference":"game_maps/1.visual_geometry","collision_basis":"authored_edge_decorations"}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用户2026-10-27新要求：中央无大型遮挡物，四周少量小型代表性设施与装饰；原0.map只提供地板来源，原树阻挡不继续沿用；docs/17x17菱形地图实施边界.md</x:v>
      </x:c>
      <x:c r="L4" s="18" t="str">
        <x:v>用户审定开阔战场：4格仅对应四周小物；原图289格及原17阻挡作为source_blocked证据保存，runtime blocked明确来自此表，不再宣称直接采用原碰撞位。中央无大树及空气阻挡，285可走格静态连通；原出生不变。</x:v>
      </x:c>
    </x:row>
    <x:row r="5" ht="112" hidden="0" customHeight="1">
      <x:c r="A5" s="19">
        <x:v>2</x:v>
      </x:c>
      <x:c r="B5" s="17" t="inlineStr">
        <x:is>
          <x:t xml:space="preserve">myf_source_map0_town</x:t>
        </x:is>
      </x:c>
      <x:c r="C5" s="16">
        <x:v>700</x:v>
      </x:c>
      <x:c r="D5" s="16">
        <x:v>700</x:v>
      </x:c>
      <x:c r="E5" s="17" t="inlineStr">
        <x:is>
          <x:t xml:space="preserve">{"source_file":"myf:Mir200/Map/0.map","door_policy":"closed"}</x:t>
        </x:is>
      </x:c>
      <x:c r="F5" s="17" t="inlineStr">
        <x:is>
          <x:t xml:space="preserve">source_map_v0_closed_doors</x:t>
        </x:is>
      </x:c>
      <x:c r="G5" s="17" t="inlineStr">
        <x:is>
          <x:t xml:space="preserve">{"geometry_reference":"game_maps/2.visual_geometry","collision_basis":"source_map_closed_doors"}</x:t>
        </x:is>
      </x:c>
      <x:c r="H5" s="17" t="inlineStr">
        <x:is>
          <x:t xml:space="preserve">development_no_corner_cutting</x:t>
        </x:is>
      </x:c>
      <x:c r="I5" s="17" t="inlineStr">
        <x:is>
          <x:t xml:space="preserve">2780766485d1e047dc2e8f03578ee83c6a14fd91597fe4562329cb8f24e1d4ec</x:t>
        </x:is>
      </x:c>
      <x:c r="J5" s="17" t="inlineStr">
        <x:is>
          <x:t xml:space="preserve">candidate</x:t>
        </x:is>
      </x:c>
      <x:c r="K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</x:t>
        </x:is>
      </x:c>
      <x:c r="L5" s="18" t="inlineStr">
        <x:is>
          <x:t xml:space="preserve">不可走位由本行唯一原图引用逐格生成，不把490000格复制进Excel文本单元格；静态位/门位/运行OR位分别可核验。关闭门候选不代表门开关与室内已实现；寻路禁止切角沿当前开发适配。</x:t>
        </x:is>
      </x:c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>
        <x:v>106</x:v>
      </x:c>
      <x:c r="B5" s="16">
        <x:v>2</x:v>
      </x:c>
      <x:c r="C5" s="17" t="inlineStr">
        <x:is>
          <x:t xml:space="preserve">source_map0_safe_zone_line6</x:t>
        </x:is>
      </x:c>
      <x:c r="D5" s="17" t="inlineStr">
        <x:is>
          <x:t xml:space="preserve">{"min_x":642,"min_y":623,"max_x":658,"max_y":639}</x:t>
        </x:is>
      </x:c>
      <x:c r="E5" s="16"/>
      <x:c r="F5" s="17" t="inlineStr">
        <x:is>
          <x:t xml:space="preserve">[]</x:t>
        </x:is>
      </x:c>
      <x:c r="G5" s="17" t="inlineStr">
        <x:is>
          <x:t xml:space="preserve">{"region_kind":"safe_zone","center":{"x":650,"y":631},"radius":8,"geometry":"chebyshev_inclusive","source_order":6,"initial_binding_status":"unverified"}</x:t>
        </x:is>
      </x:c>
      <x:c r="H5" s="17" t="inlineStr">
        <x:is>
          <x:t xml:space="preserve">candidate</x:t>
        </x:is>
      </x:c>
      <x:c r="I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L5与StartPoint.txt原字节副本；跨来源开发候选，非目标1.80认证；StartPoint.txt:6</x:t>
        </x:is>
      </x:c>
      <x:c r="J5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6" ht="15" hidden="0" customHeight="1">
      <x:c r="A6" s="19">
        <x:v>107</x:v>
      </x:c>
      <x:c r="B6" s="16">
        <x:v>2</x:v>
      </x:c>
      <x:c r="C6" s="17" t="inlineStr">
        <x:is>
          <x:t xml:space="preserve">source_map0_safe_zone_line7</x:t>
        </x:is>
      </x:c>
      <x:c r="D6" s="17" t="inlineStr">
        <x:is>
          <x:t xml:space="preserve">{"min_x":642,"min_y":623,"max_x":658,"max_y":639}</x:t>
        </x:is>
      </x:c>
      <x:c r="E6" s="16"/>
      <x:c r="F6" s="17" t="inlineStr">
        <x:is>
          <x:t xml:space="preserve">[]</x:t>
        </x:is>
      </x:c>
      <x:c r="G6" s="17" t="inlineStr">
        <x:is>
          <x:t xml:space="preserve">{"region_kind":"safe_zone","center":{"x":650,"y":631},"radius":8,"geometry":"chebyshev_inclusive","source_order":7,"initial_binding_status":"unverified"}</x:t>
        </x:is>
      </x:c>
      <x:c r="H6" s="17" t="inlineStr">
        <x:is>
          <x:t xml:space="preserve">candidate</x:t>
        </x:is>
      </x:c>
      <x:c r="I6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L5与StartPoint.txt原字节副本；跨来源开发候选，非目标1.80认证；StartPoint.txt:7</x:t>
        </x:is>
      </x:c>
      <x:c r="J6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7" ht="15" hidden="0" customHeight="1">
      <x:c r="A7" s="19">
        <x:v>108</x:v>
      </x:c>
      <x:c r="B7" s="16">
        <x:v>2</x:v>
      </x:c>
      <x:c r="C7" s="17" t="inlineStr">
        <x:is>
          <x:t xml:space="preserve">source_map0_safe_zone_line8</x:t>
        </x:is>
      </x:c>
      <x:c r="D7" s="17" t="inlineStr">
        <x:is>
          <x:t xml:space="preserve">{"min_x":642,"min_y":623,"max_x":658,"max_y":639}</x:t>
        </x:is>
      </x:c>
      <x:c r="E7" s="16"/>
      <x:c r="F7" s="17" t="inlineStr">
        <x:is>
          <x:t xml:space="preserve">[]</x:t>
        </x:is>
      </x:c>
      <x:c r="G7" s="17" t="inlineStr">
        <x:is>
          <x:t xml:space="preserve">{"region_kind":"safe_zone","center":{"x":650,"y":631},"radius":8,"geometry":"chebyshev_inclusive","source_order":8,"initial_binding_status":"unverified"}</x:t>
        </x:is>
      </x:c>
      <x:c r="H7" s="17" t="inlineStr">
        <x:is>
          <x:t xml:space="preserve">candidate</x:t>
        </x:is>
      </x:c>
      <x:c r="I7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L5与StartPoint.txt原字节副本；跨来源开发候选，非目标1.80认证；StartPoint.txt:8</x:t>
        </x:is>
      </x:c>
      <x:c r="J7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8" ht="15" hidden="0" customHeight="1">
      <x:c r="A8" s="19">
        <x:v>113</x:v>
      </x:c>
      <x:c r="B8" s="16">
        <x:v>2</x:v>
      </x:c>
      <x:c r="C8" s="17" t="inlineStr">
        <x:is>
          <x:t xml:space="preserve">source_map0_safe_zone_line13</x:t>
        </x:is>
      </x:c>
      <x:c r="D8" s="17" t="inlineStr">
        <x:is>
          <x:t xml:space="preserve">{"min_x":281,"min_y":610,"max_x":297,"max_y":626}</x:t>
        </x:is>
      </x:c>
      <x:c r="E8" s="16"/>
      <x:c r="F8" s="17" t="inlineStr">
        <x:is>
          <x:t xml:space="preserve">[]</x:t>
        </x:is>
      </x:c>
      <x:c r="G8" s="17" t="inlineStr">
        <x:is>
          <x:t xml:space="preserve">{"region_kind":"safe_zone","center":{"x":289,"y":618},"radius":8,"geometry":"chebyshev_inclusive","source_order":13,"initial_binding_status":"unverified"}</x:t>
        </x:is>
      </x:c>
      <x:c r="H8" s="17" t="inlineStr">
        <x:is>
          <x:t xml:space="preserve">candidate</x:t>
        </x:is>
      </x:c>
      <x:c r="I8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L5与StartPoint.txt原字节副本；跨来源开发候选，非目标1.80认证；StartPoint.txt:13</x:t>
        </x:is>
      </x:c>
      <x:c r="J8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9" ht="15" hidden="0" customHeight="1">
      <x:c r="A9" s="19">
        <x:v>117</x:v>
      </x:c>
      <x:c r="B9" s="16">
        <x:v>2</x:v>
      </x:c>
      <x:c r="C9" s="17" t="inlineStr">
        <x:is>
          <x:t xml:space="preserve">source_map0_safe_zone_line17</x:t>
        </x:is>
      </x:c>
      <x:c r="D9" s="17" t="inlineStr">
        <x:is>
          <x:t xml:space="preserve">{"min_x":321,"min_y":257,"max_x":341,"max_y":277}</x:t>
        </x:is>
      </x:c>
      <x:c r="E9" s="16"/>
      <x:c r="F9" s="17" t="inlineStr">
        <x:is>
          <x:t xml:space="preserve">[]</x:t>
        </x:is>
      </x:c>
      <x:c r="G9" s="17" t="inlineStr">
        <x:is>
          <x:t xml:space="preserve">{"region_kind":"safe_zone","center":{"x":331,"y":267},"radius":10,"geometry":"chebyshev_inclusive","source_order":17,"initial_binding_status":"unverified"}</x:t>
        </x:is>
      </x:c>
      <x:c r="H9" s="17" t="inlineStr">
        <x:is>
          <x:t xml:space="preserve">candidate</x:t>
        </x:is>
      </x:c>
      <x:c r="I9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L5与StartPoint.txt原字节副本；跨来源开发候选，非目标1.80认证；StartPoint.txt:17</x:t>
        </x:is>
      </x:c>
      <x:c r="J9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10" ht="15" hidden="0" customHeight="1">
      <x:c r="A10" s="19">
        <x:v>201</x:v>
      </x:c>
      <x:c r="B10" s="16">
        <x:v>1</x:v>
      </x:c>
      <x:c r="C10" s="17" t="inlineStr">
        <x:is>
          <x:t xml:space="preserve">map_1_policy</x:t>
        </x:is>
      </x:c>
      <x:c r="D10" s="17" t="inlineStr">
        <x:is>
          <x:t xml:space="preserve">{"min_x":0,"min_y":0,"max_x":16,"max_y":16}</x:t>
        </x:is>
      </x:c>
      <x:c r="E10" s="16"/>
      <x:c r="F10" s="17" t="inlineStr">
        <x:is>
          <x:t xml:space="preserve">[]</x:t>
        </x:is>
      </x:c>
      <x:c r="G10" s="17" t="inlineStr">
        <x:is>
          <x:t xml:space="preserve">{"region_kind":"map_policy","no_teleport":false,"no_pets":false}</x:t>
        </x:is>
      </x:c>
      <x:c r="H10" s="17" t="inlineStr">
        <x:is>
          <x:t xml:space="preserve">candidate</x:t>
        </x:is>
      </x:c>
      <x:c r="I10" s="18" t="inlineStr">
        <x:is>
          <x:t xml:space="preserve">本作17×17个人图开发候选，rule15显式NoTeleport=false；非来源城镇、新生或复活规则；本任务rule17显式NoPets=false候选，保持当前可携宠地图开发范围；Crystal HumanObject.cs:4401、MonsterObject.cs:1334–1367；不从MYF NOMANNOMON或NoTeleport推定原服NoPets</x:t>
        </x:is>
      </x:c>
      <x:c r="J10" s="18" t="inlineStr">
        <x:is>
          <x:t xml:space="preserve">本map唯一全图政策行；不得作为safe_zone参与绑定首匹配或ZoneSetHash，不配置怪物或NPC。 rule17独立no_pets布尔；不加入安全区或ZoneSetHash，受理与Recall到期时点按各自源规则。</x:t>
        </x:is>
      </x:c>
    </x:row>
    <x:row r="11" ht="15" hidden="0" customHeight="1">
      <x:c r="A11" s="19">
        <x:v>202</x:v>
      </x:c>
      <x:c r="B11" s="16">
        <x:v>2</x:v>
      </x:c>
      <x:c r="C11" s="17" t="inlineStr">
        <x:is>
          <x:t xml:space="preserve">map_2_policy</x:t>
        </x:is>
      </x:c>
      <x:c r="D11" s="17" t="inlineStr">
        <x:is>
          <x:t xml:space="preserve">{"min_x":0,"min_y":0,"max_x":699,"max_y":699}</x:t>
        </x:is>
      </x:c>
      <x:c r="E11" s="16"/>
      <x:c r="F11" s="17" t="inlineStr">
        <x:is>
          <x:t xml:space="preserve">[]</x:t>
        </x:is>
      </x:c>
      <x:c r="G11" s="17" t="inlineStr">
        <x:is>
          <x:t xml:space="preserve">{"region_kind":"map_policy","no_teleport":false,"no_pets":false}</x:t>
        </x:is>
      </x:c>
      <x:c r="H11" s="17" t="inlineStr">
        <x:is>
          <x:t xml:space="preserve">candidate</x:t>
        </x:is>
      </x:c>
      <x:c r="I11" s="18" t="inlineStr">
        <x:is>
          <x:t xml:space="preserve">本任务rule15候选采用Crystal当前源图NoTeleport到期检查；Crystal Server/MirDatabase/MapInfo.cs:24、MirObjects/HumanObject.cs:6096–6100；原MYF Mir200/Envir/MapInfo.txt:5只读白名单为[0\t比奇省] NOMANNOMON，原文件SHA358056b0f13e0c26968b08cbde08d4742137c0453f6d634203b495addf7b6707；跨引擎candidate，不认证标记完全等价；本任务rule17显式NoPets=false候选，保持当前可携宠地图开发范围；Crystal HumanObject.cs:4401、MonsterObject.cs:1334–1367；不从MYF NOMANNOMON或NoTeleport推定原服NoPets</x:t>
        </x:is>
      </x:c>
      <x:c r="J11" s="18" t="inlineStr">
        <x:is>
          <x:t xml:space="preserve">本map唯一全图政策行；不得作为safe_zone参与绑定首匹配或ZoneSetHash，不配置怪物或NPC。 rule17独立no_pets布尔；不加入安全区或ZoneSetHash，受理与Recall到期时点按各自源规则。</x:t>
        </x:is>
      </x:c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用户2026-10-27：17×17菱形2.5D地图与土层厚度；原Map/0.map(128,128)完整289格；docs/17x17菱形地图实施边界.md；最终策划普通怪10秒复活</x:v>
      </x:c>
      <x:c r="K4" s="18" t="str">
        <x:v>仅显式development配置使用的跨来源候选；未通过目标1.80行为/数值/真机验收，不进入正式发布。 原8槽不变，按17×17源格重新核验静态可达。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用户2026-10-27：17×17菱形2.5D地图与土层厚度；原Map/0.map(128,128)完整289格；docs/17x17菱形地图实施边界.md；最终策划普通怪10秒复活</x:v>
      </x:c>
      <x:c r="K5" s="18" t="str">
        <x:v>仅显式development配置使用的跨来源候选；未通过目标1.80行为/数值/真机验收，不进入正式发布。 原8槽不变，按17×17源格重新核验静态可达。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用户2026-10-27：17×17菱形2.5D地图与土层厚度；原Map/0.map(128,128)完整289格；docs/17x17菱形地图实施边界.md；最终策划普通怪10秒复活</x:v>
      </x:c>
      <x:c r="K6" s="18" t="str">
        <x:v>仅显式development配置使用的跨来源候选；未通过目标1.80行为/数值/真机验收，不进入正式发布。 原8槽不变，按17×17源格重新核验静态可达。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用户2026-10-27：17×17菱形2.5D地图与土层厚度；原Map/0.map(128,128)完整289格；docs/17x17菱形地图实施边界.md；最终策划普通怪10秒复活</x:v>
      </x:c>
      <x:c r="K7" s="18" t="str">
        <x:v>仅显式development配置使用的跨来源候选；未通过目标1.80行为/数值/真机验收，不进入正式发布。 原8槽不变，按17×17源格重新核验静态可达。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用户2026-10-27：17×17菱形2.5D地图与土层厚度；原Map/0.map(128,128)完整289格；docs/17x17菱形地图实施边界.md；最终策划普通怪10秒复活</x:v>
      </x:c>
      <x:c r="K8" s="18" t="str">
        <x:v>仅显式development配置使用的跨来源候选；未通过目标1.80行为/数值/真机验收，不进入正式发布。 原8槽不变，按17×17源格重新核验静态可达。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用户2026-10-27：17×17菱形2.5D地图与土层厚度；原Map/0.map(128,128)完整289格；docs/17x17菱形地图实施边界.md；最终策划普通怪10秒复活</x:v>
      </x:c>
      <x:c r="K9" s="18" t="str">
        <x:v>仅显式development配置使用的跨来源候选；未通过目标1.80行为/数值/真机验收，不进入正式发布。 原8槽不变，按17×17源格重新核验静态可达。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用户2026-10-27：17×17菱形2.5D地图与土层厚度；原Map/0.map(128,128)完整289格；docs/17x17菱形地图实施边界.md；最终策划普通怪10秒复活</x:v>
      </x:c>
      <x:c r="K10" s="18" t="str">
        <x:v>仅显式development配置使用的跨来源候选；未通过目标1.80行为/数值/真机验收，不进入正式发布。 原8槽不变，按17×17源格重新核验静态可达。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用户2026-10-27：17×17菱形2.5D地图与土层厚度；原Map/0.map(128,128)完整289格；docs/17x17菱形地图实施边界.md；最终策划普通怪10秒复活</x:v>
      </x:c>
      <x:c r="K11" s="18" t="str">
        <x:v>仅显式development配置使用的跨来源候选；未通过目标1.80行为/数值/真机验收，不进入正式发布。 原8槽不变，按17×17源格重新核验静态可达。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,"auto_enabled":true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{"mp_base_cost":3,"mp_level_cost":2,"items":[],"material_item_id":0,"material_quantity":0}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,"auto_enabled":true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{"mp_base_cost":3,"mp_level_cost":2,"items":[],"material_item_id":0,"material_quantity":0}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{"mp_base_cost":0,"mp_level_cost":0,"items":[],"material_item_id":0,"material_quantity":0}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{"mp_base_cost":0,"mp_level_cost":0,"items":[],"material_item_id":0,"material_quantity":0}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,"auto_enabled":true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{"mp_base_cost":5,"mp_level_cost":1,"items":[],"material_item_id":0,"material_quantity":0}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,"auto_enabled":true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{"mp_base_cost":9,"mp_level_cost":2,"items":[],"material_item_id":0,"material_quantity":0}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{"mp_base_cost":14,"mp_level_cost":4,"items":[],"material_item_id":0,"material_quantity":0}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{"mp_base_cost":28,"mp_level_cost":3,"items":[],"material_item_id":0,"material_quantity":0}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{"mp_base_cost":0,"mp_level_cost":0,"items":[],"material_item_id":0,"material_quantity":0}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,"auto_enabl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{"mp_base_cost":0,"mp_level_cost":0,"items":[],"material_item_id":0,"material_quantity":0}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,"auto_enabl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{"mp_base_cost":3,"mp_level_cost":0,"items":[],"material_item_id":0,"material_quantity":0}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{"mp_base_cost":7,"mp_level_cost":0,"items":[],"material_item_id":0,"material_quantity":0}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,"auto_enabled":tru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{"mp_base_cost":38,"mp_level_cost":7,"items":[],"material_item_id":0,"material_quantity":0}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,"auto_enabled":tru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{"mp_base_cost":33,"mp_level_cost":3,"items":[],"material_item_id":0,"material_quantity":0}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,"auto_enabled":tru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{"mp_base_cost":29,"mp_level_cost":9,"items":[],"material_item_id":0,"material_quantity":0}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,"auto_enabl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{"mp_base_cost":10,"mp_level_cost":3,"items":[],"material_item_id":0,"material_quantity":0}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；rule10显式auto_enabled保持已有普通自动选技候选行为；优先级0不表示关闭；被动、开关、充能不进入普通选技，烈火独立自动逻辑不变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1" ht="56" customHeight="1">
      <x:c r="A21" s="19" t="n">
        <x:v>14</x:v>
      </x:c>
      <x:c r="B21" s="17" t="str">
        <x:v>source_soul_shield</x:v>
      </x:c>
      <x:c r="C21" s="17" t="str">
        <x:v>幽灵盾</x:v>
      </x:c>
      <x:c r="D21" s="16" t="n">
        <x:v>2</x:v>
      </x:c>
      <x:c r="E21" s="16" t="n">
        <x:v>22</x:v>
      </x:c>
      <x:c r="F21" s="17" t="str">
        <x:v>soul_shield</x:v>
      </x:c>
      <x:c r="G21" s="17" t="str">
        <x:v>{"kind":"friendly_grid","range_cells":9,"target_move_tolerance_cells":0,"area_radius":3,"require_line_of_sight":false,"auto_priority":6,"auto_min_targets":1,"secondary_direction_offsets":[],"secondary_distance_cells":0,"line_cells":0,"line_stop_on_blocked":false,"activation_kind":"cast","auto_enabled":true}</x:v>
      </x:c>
      <x:c r="H21" s="16"/>
      <x:c r="I21" s="16" t="n">
        <x:v>1800</x:v>
      </x:c>
      <x:c r="J21" s="17" t="str">
        <x:v>{"cooldown_reduction_ms":0,"global_spell_ms":1800,"action_ms":600,"delay_base_ms":500,"projectile_ms_per_cell":50,"secondary_impact_ms":0,"charge_window_ms":0,"line_step_ms":0}</x:v>
      </x:c>
      <x:c r="K21" s="17" t="str">
        <x:v>{"mp_base_cost":2,"mp_level_cost":2,"items":[],"material_item_id":187,"material_quantity":1}</x:v>
      </x:c>
      <x:c r="L21" s="17" t="str">
        <x:v>soul_shield</x:v>
      </x:c>
      <x:c r="M21" s="17" t="str">
        <x:v>[14]</x:v>
      </x:c>
      <x:c r="N21" s="17" t="str">
        <x:v>player_male.casting</x:v>
      </x:c>
      <x:c r="O21" s="17" t="str">
        <x:v>development_source_soul_shield_v1</x:v>
      </x:c>
      <x:c r="P21" s="9" t="b">
        <x:v>0</x:v>
      </x:c>
      <x:c r="Q21" s="17" t="str">
        <x:v>candidate</x:v>
      </x:c>
      <x:c r="R21" s="18" t="str">
        <x:v>docs/战斗状态与防御技能实施边界.md；资料参考/crystal/Server/MirObjects/HumanObject.cs与MirEnvir/Map.cs；开发候选，非目标1.80认证</x:v>
      </x:c>
      <x:c r="S21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1" s="17" t="n">
        <x:v>28</x:v>
      </x:c>
      <x:c r="U21" s="17" t="n">
        <x:v>0</x:v>
      </x:c>
      <x:c r="V21" s="17" t="n">
        <x:v>3</x:v>
      </x:c>
      <x:c r="W21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2" ht="56" customHeight="1">
      <x:c r="A22" s="19" t="n">
        <x:v>15</x:v>
      </x:c>
      <x:c r="B22" s="17" t="str">
        <x:v>source_blessed_armour</x:v>
      </x:c>
      <x:c r="C22" s="17" t="str">
        <x:v>神圣战甲术</x:v>
      </x:c>
      <x:c r="D22" s="16" t="n">
        <x:v>2</x:v>
      </x:c>
      <x:c r="E22" s="16" t="n">
        <x:v>25</x:v>
      </x:c>
      <x:c r="F22" s="17" t="str">
        <x:v>blessed_armour</x:v>
      </x:c>
      <x:c r="G22" s="17" t="str">
        <x:v>{"kind":"friendly_grid","range_cells":9,"target_move_tolerance_cells":0,"area_radius":3,"require_line_of_sight":false,"auto_priority":7,"auto_min_targets":1,"secondary_direction_offsets":[],"secondary_distance_cells":0,"line_cells":0,"line_stop_on_blocked":false,"activation_kind":"cast","auto_enabled":true}</x:v>
      </x:c>
      <x:c r="H22" s="16"/>
      <x:c r="I22" s="16" t="n">
        <x:v>1800</x:v>
      </x:c>
      <x:c r="J22" s="17" t="str">
        <x:v>{"cooldown_reduction_ms":0,"global_spell_ms":1800,"action_ms":600,"delay_base_ms":500,"projectile_ms_per_cell":50,"secondary_impact_ms":0,"charge_window_ms":0,"line_step_ms":0}</x:v>
      </x:c>
      <x:c r="K22" s="17" t="str">
        <x:v>{"mp_base_cost":2,"mp_level_cost":2,"items":[],"material_item_id":187,"material_quantity":1}</x:v>
      </x:c>
      <x:c r="L22" s="17" t="str">
        <x:v>blessed_armour</x:v>
      </x:c>
      <x:c r="M22" s="17" t="str">
        <x:v>[15]</x:v>
      </x:c>
      <x:c r="N22" s="17" t="str">
        <x:v>player_male.casting</x:v>
      </x:c>
      <x:c r="O22" s="17" t="str">
        <x:v>development_source_blessed_armour_v1</x:v>
      </x:c>
      <x:c r="P22" s="9" t="b">
        <x:v>0</x:v>
      </x:c>
      <x:c r="Q22" s="17" t="str">
        <x:v>candidate</x:v>
      </x:c>
      <x:c r="R22" s="18" t="str">
        <x:v>docs/战斗状态与防御技能实施边界.md；资料参考/crystal/Server/MirObjects/HumanObject.cs与MirEnvir/Map.cs；开发候选，非目标1.80认证</x:v>
      </x:c>
      <x:c r="S22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2" s="17" t="n">
        <x:v>29</x:v>
      </x:c>
      <x:c r="U22" s="17" t="n">
        <x:v>0</x:v>
      </x:c>
      <x:c r="V22" s="17" t="n">
        <x:v>3</x:v>
      </x:c>
      <x:c r="W22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3" ht="56" customHeight="1">
      <x:c r="A23" s="19" t="n">
        <x:v>31</x:v>
      </x:c>
      <x:c r="B23" s="17" t="str">
        <x:v>source_magic_shield</x:v>
      </x:c>
      <x:c r="C23" s="17" t="str">
        <x:v>魔法盾</x:v>
      </x:c>
      <x:c r="D23" s="16" t="n">
        <x:v>1</x:v>
      </x:c>
      <x:c r="E23" s="16" t="n">
        <x:v>31</x:v>
      </x:c>
      <x:c r="F23" s="17" t="str">
        <x:v>magic_shield</x:v>
      </x:c>
      <x:c r="G23" s="17" t="str">
        <x:v>{"kind":"friendly_self","range_cells":0,"target_move_tolerance_cells":0,"area_radius":0,"require_line_of_sight":false,"auto_priority":5,"auto_min_targets":1,"secondary_direction_offsets":[],"secondary_distance_cells":0,"line_cells":0,"line_stop_on_blocked":false,"activation_kind":"cast","auto_enabled":true}</x:v>
      </x:c>
      <x:c r="H23" s="16"/>
      <x:c r="I23" s="16" t="n">
        <x:v>1800</x:v>
      </x:c>
      <x:c r="J23" s="17" t="str">
        <x:v>{"cooldown_reduction_ms":0,"global_spell_ms":1800,"action_ms":600,"delay_base_ms":500,"projectile_ms_per_cell":0,"secondary_impact_ms":0,"charge_window_ms":0,"line_step_ms":0}</x:v>
      </x:c>
      <x:c r="K23" s="17" t="str">
        <x:v>{"mp_base_cost":35,"mp_level_cost":5,"items":[],"material_item_id":0,"material_quantity":0}</x:v>
      </x:c>
      <x:c r="L23" s="17" t="str">
        <x:v>magic_shield</x:v>
      </x:c>
      <x:c r="M23" s="17" t="str">
        <x:v>[31]</x:v>
      </x:c>
      <x:c r="N23" s="17" t="str">
        <x:v>player_female.casting</x:v>
      </x:c>
      <x:c r="O23" s="17" t="str">
        <x:v>development_source_magic_shield_v1</x:v>
      </x:c>
      <x:c r="P23" s="9" t="b">
        <x:v>0</x:v>
      </x:c>
      <x:c r="Q23" s="17" t="str">
        <x:v>candidate</x:v>
      </x:c>
      <x:c r="R23" s="18" t="str">
        <x:v>docs/战斗状态与防御技能实施边界.md；资料参考/crystal/Server/MirObjects/HumanObject.cs与MirEnvir/Map.cs；开发候选，非目标1.80认证</x:v>
      </x:c>
      <x:c r="S23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3" s="17" t="n">
        <x:v>18</x:v>
      </x:c>
      <x:c r="U23" s="17" t="n">
        <x:v>0</x:v>
      </x:c>
      <x:c r="V23" s="17" t="n">
        <x:v>3</x:v>
      </x:c>
      <x:c r="W23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4" ht="56" customHeight="1">
      <x:c r="A24" s="19">
        <x:v>8</x:v>
      </x:c>
      <x:c r="B24" s="17" t="inlineStr">
        <x:is>
          <x:t xml:space="preserve">source_repulsion</x:t>
        </x:is>
      </x:c>
      <x:c r="C24" s="17" t="inlineStr">
        <x:is>
          <x:t xml:space="preserve">抗拒火环</x:t>
        </x:is>
      </x:c>
      <x:c r="D24" s="16">
        <x:v>1</x:v>
      </x:c>
      <x:c r="E24" s="16">
        <x:v>12</x:v>
      </x:c>
      <x:c r="F24" s="17" t="inlineStr">
        <x:is>
          <x:t xml:space="preserve">repulsion</x:t>
        </x:is>
      </x:c>
      <x:c r="G24" s="17" t="inlineStr">
        <x:is>
          <x:t xml:space="preserve">{"kind":"enemy_self","range_cells":0,"target_move_tolerance_cells":0,"area_radius":1,"require_line_of_sight":false,"auto_priority":0,"auto_min_targets":1,"secondary_direction_offsets":[],"secondary_distance_cells":0,"line_cells":0,"line_stop_on_blocked":false,"activation_kind":"cast","auto_enabled":false,"displacement":{"distance_base_by_level":[1,1,2,3],"distance_random_bound":2,"success_denominator":20,"success_base":6,"success_per_level":3,"step_display_ms":300}}</x:t>
        </x:is>
      </x:c>
      <x:c r="H24" s="16"/>
      <x:c r="I24" s="16">
        <x:v>1800</x:v>
      </x:c>
      <x:c r="J24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4" s="17" t="inlineStr">
        <x:is>
          <x:t xml:space="preserve">{"mp_base_cost":2,"mp_level_cost":2,"items":[],"material_item_id":0,"material_quantity":0}</x:t>
        </x:is>
      </x:c>
      <x:c r="L24" s="17" t="inlineStr">
        <x:is>
          <x:t xml:space="preserve">repulsion</x:t>
        </x:is>
      </x:c>
      <x:c r="M24" s="17" t="inlineStr">
        <x:is>
          <x:t xml:space="preserve">[]</x:t>
        </x:is>
      </x:c>
      <x:c r="N24" s="17" t="inlineStr">
        <x:is>
          <x:t xml:space="preserve">player_female.casting</x:t>
        </x:is>
      </x:c>
      <x:c r="O24" s="17" t="inlineStr">
        <x:is>
          <x:t xml:space="preserve">source_displacement_8_v1</x:t>
        </x:is>
      </x:c>
      <x:c r="P24" s="9" t="b">
        <x:v>0</x:v>
      </x:c>
      <x:c r="Q24" s="17" t="inlineStr">
        <x:is>
          <x:t xml:space="preserve">candidate</x:t>
        </x:is>
      </x:c>
      <x:c r="R2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4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4" s="17">
        <x:v>8</x:v>
      </x:c>
      <x:c r="U24" s="17">
        <x:v>0</x:v>
      </x:c>
      <x:c r="V24" s="17">
        <x:v>3</x:v>
      </x:c>
      <x:c r="W24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5" ht="56" customHeight="1">
      <x:c r="A25" s="19">
        <x:v>27</x:v>
      </x:c>
      <x:c r="B25" s="17" t="inlineStr">
        <x:is>
          <x:t xml:space="preserve">source_shoulder_dash</x:t>
        </x:is>
      </x:c>
      <x:c r="C25" s="17" t="inlineStr">
        <x:is>
          <x:t xml:space="preserve">野蛮冲撞</x:t>
        </x:is>
      </x:c>
      <x:c r="D25" s="16">
        <x:v>0</x:v>
      </x:c>
      <x:c r="E25" s="16">
        <x:v>30</x:v>
      </x:c>
      <x:c r="F25" s="17" t="inlineStr">
        <x:is>
          <x:t xml:space="preserve">shoulder_dash</x:t>
        </x:is>
      </x:c>
      <x:c r="G25" s="17" t="inlineStr">
        <x:is>
          <x:t xml:space="preserve">{"kind":"enemy_direction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displacement":{"distance_base_by_level":[2,3,4,5],"distance_random_bound":2,"success_denominator":0,"success_base":0,"success_per_level":0,"step_display_ms":300}}</x:t>
        </x:is>
      </x:c>
      <x:c r="H25" s="16"/>
      <x:c r="I25" s="16">
        <x:v>2500</x:v>
      </x:c>
      <x:c r="J25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5" s="17" t="inlineStr">
        <x:is>
          <x:t xml:space="preserve">{"mp_base_cost":4,"mp_level_cost":4,"items":[],"material_item_id":0,"material_quantity":0}</x:t>
        </x:is>
      </x:c>
      <x:c r="L25" s="17" t="inlineStr">
        <x:is>
          <x:t xml:space="preserve">shoulder_dash</x:t>
        </x:is>
      </x:c>
      <x:c r="M25" s="17" t="inlineStr">
        <x:is>
          <x:t xml:space="preserve">[]</x:t>
        </x:is>
      </x:c>
      <x:c r="N25" s="17" t="inlineStr">
        <x:is>
          <x:t xml:space="preserve">player_male.running</x:t>
        </x:is>
      </x:c>
      <x:c r="O25" s="17" t="inlineStr">
        <x:is>
          <x:t xml:space="preserve">source_displacement_27_v1</x:t>
        </x:is>
      </x:c>
      <x:c r="P25" s="9" t="b">
        <x:v>0</x:v>
      </x:c>
      <x:c r="Q25" s="17" t="inlineStr">
        <x:is>
          <x:t xml:space="preserve">candidate</x:t>
        </x:is>
      </x:c>
      <x:c r="R2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5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5" s="17">
        <x:v>5</x:v>
      </x:c>
      <x:c r="U25" s="17">
        <x:v>0</x:v>
      </x:c>
      <x:c r="V25" s="17">
        <x:v>3</x:v>
      </x:c>
      <x:c r="W25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6" ht="56" customHeight="1">
      <x:c r="A26" s="19">
        <x:v>21</x:v>
      </x:c>
      <x:c r="B26" s="17" t="inlineStr">
        <x:is>
          <x:t xml:space="preserve">source_teleport</x:t>
        </x:is>
      </x:c>
      <x:c r="C26" s="17" t="inlineStr">
        <x:is>
          <x:t xml:space="preserve">瞬息移动</x:t>
        </x:is>
      </x:c>
      <x:c r="D26" s="16">
        <x:v>1</x:v>
      </x:c>
      <x:c r="E26" s="16">
        <x:v>19</x:v>
      </x:c>
      <x:c r="F26" s="17" t="inlineStr">
        <x:is>
          <x:t xml:space="preserve">teleport</x:t>
        </x:is>
      </x:c>
      <x:c r="G26" s="17" t="inlineStr">
        <x:is>
          <x:t xml:space="preserve">{"kind":"friendly_self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teleport":{"max_attempts":200,"axis_rule":"map_dimension_divided_by_rank_plus_one","landing_rule":"source_static_walk","allow_occupied":true,"allow_accepted_dead":true,"check_source_map_at_due":true}}</x:t>
        </x:is>
      </x:c>
      <x:c r="H26" s="16"/>
      <x:c r="I26" s="16">
        <x:v>1800</x:v>
      </x:c>
      <x:c r="J26" s="17" t="inlineStr">
        <x:is>
          <x:t xml:space="preserve">{"cooldown_reduction_ms":0,"global_spell_ms":1800,"action_ms":600,"delay_base_ms":200,"projectile_ms_per_cell":0,"secondary_impact_ms":0,"charge_window_ms":0,"line_step_ms":0}</x:t>
        </x:is>
      </x:c>
      <x:c r="K26" s="17" t="inlineStr">
        <x:is>
          <x:t xml:space="preserve">{"mp_base_cost":10,"mp_level_cost":3,"items":[],"material_item_id":0,"material_quantity":0}</x:t>
        </x:is>
      </x:c>
      <x:c r="L26" s="17" t="inlineStr">
        <x:is>
          <x:t xml:space="preserve">teleport</x:t>
        </x:is>
      </x:c>
      <x:c r="M26" s="17" t="inlineStr">
        <x:is>
          <x:t xml:space="preserve">[21]</x:t>
        </x:is>
      </x:c>
      <x:c r="N26" s="17" t="inlineStr">
        <x:is>
          <x:t xml:space="preserve">player_female.casting</x:t>
        </x:is>
      </x:c>
      <x:c r="O26" s="17" t="inlineStr">
        <x:is>
          <x:t xml:space="preserve">source_teleport_21_v1</x:t>
        </x:is>
      </x:c>
      <x:c r="P26" s="9" t="b">
        <x:v>0</x:v>
      </x:c>
      <x:c r="Q26" s="17" t="inlineStr">
        <x:is>
          <x:t xml:space="preserve">candidate</x:t>
        </x:is>
      </x:c>
      <x:c r="R26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</x:t>
        </x:is>
      </x:c>
      <x:c r="S26" s="18" t="inlineStr">
        <x:is>
          <x:t xml:space="preserve">绑定地图完整尺寸随机，200ms到期200次独立尝试；静态Walk允许动态占格且不额外关门。仅手动；新施法死者拒绝，已受理同Life未Despawn者可尸体成功传送且保持HP0。失败不退MP、不加Flux。目标1.80仍未认证。</x:t>
        </x:is>
      </x:c>
      <x:c r="T26" s="17">
        <x:v>13</x:v>
      </x:c>
      <x:c r="U26" s="17">
        <x:v>0</x:v>
      </x:c>
      <x:c r="V26" s="17">
        <x:v>3</x:v>
      </x:c>
      <x:c r="W26" s="17" t="inlineStr">
        <x:is>
          <x:t xml:space="preserve"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7" ht="56" customHeight="1">
      <x:c r="A27" s="19">
        <x:v>17</x:v>
      </x:c>
      <x:c r="B27" s="17" t="inlineStr">
        <x:is>
          <x:t xml:space="preserve">source_summon_skeleton</x:t>
        </x:is>
      </x:c>
      <x:c r="C27" s="17" t="inlineStr">
        <x:is>
          <x:t xml:space="preserve">召唤骷髅</x:t>
        </x:is>
      </x:c>
      <x:c r="D27" s="16">
        <x:v>2</x:v>
      </x:c>
      <x:c r="E27" s="16">
        <x:v>19</x:v>
      </x:c>
      <x:c r="F27" s="17" t="inlineStr">
        <x:is>
          <x:t xml:space="preserve">summon_pet</x:t>
        </x:is>
      </x:c>
      <x:c r="G27" s="17" t="inlineStr">
        <x:is>
          <x:t xml:space="preserve">{"kind":"friendly_self","range_cells":0,"target_move_tolerance_cells":0,"area_radius":0,"require_line_of_sight":false,"auto_priority":0,"auto_min_targets":0,"secondary_direction_offsets":[],"secondary_distance_cells":0,"line_cells":0,"line_stop_on_blocked":false,"activation_kind":"cast","auto_enabled":false,"summon":{"definition_id":1}}</x:t>
        </x:is>
      </x:c>
      <x:c r="H27" s="16"/>
      <x:c r="I27" s="16">
        <x:v>1800</x:v>
      </x:c>
      <x:c r="J27" s="17" t="inlineStr">
        <x:is>
          <x:t xml:space="preserve">{"cooldown_reduction_ms":0,"global_spell_ms":1800,"action_ms":600,"delay_base_ms":500,"projectile_ms_per_cell":0,"secondary_impact_ms":0,"charge_window_ms":0,"line_step_ms":0}</x:t>
        </x:is>
      </x:c>
      <x:c r="K27" s="17" t="inlineStr">
        <x:is>
          <x:t xml:space="preserve">{"mp_base_cost":12,"mp_level_cost":4,"items":[],"material_item_id":187,"material_quantity":1}</x:t>
        </x:is>
      </x:c>
      <x:c r="L27" s="17" t="inlineStr">
        <x:is>
          <x:t xml:space="preserve">summon_pet</x:t>
        </x:is>
      </x:c>
      <x:c r="M27" s="17" t="inlineStr">
        <x:is>
          <x:t xml:space="preserve">[]</x:t>
        </x:is>
      </x:c>
      <x:c r="N27" s="17" t="inlineStr">
        <x:is>
          <x:t xml:space="preserve">player_male.casting</x:t>
        </x:is>
      </x:c>
      <x:c r="O27" s="17" t="inlineStr">
        <x:is>
          <x:t xml:space="preserve">development_source_summon_skeleton_v1</x:t>
        </x:is>
      </x:c>
      <x:c r="P27" s="9" t="b">
        <x:v>0</x:v>
      </x:c>
      <x:c r="Q27" s="17" t="inlineStr">
        <x:is>
          <x:t xml:space="preserve">candidate</x:t>
        </x:is>
      </x:c>
      <x:c r="R27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</x:t>
        </x:is>
      </x:c>
      <x:c r="S27" s="18" t="inlineStr">
        <x:is>
          <x:t xml:space="preserve">仅独立候选；同名存活有居民节点先Recall且不耗符，新生才材料1；主22技能不选17。MYF19/23/26与Crystal19/22/26不同，三阶另由171–173候选维护，主升级未选入。</x:t>
        </x:is>
      </x:c>
      <x:c r="T27" s="17">
        <x:v>25</x:v>
      </x:c>
      <x:c r="U27" s="17">
        <x:v>0</x:v>
      </x:c>
      <x:c r="V27" s="17">
        <x:v>3</x:v>
      </x:c>
      <x:c r="W27" s="17" t="inlineStr">
        <x:is>
          <x:t xml:space="preserve">{"accuracy_per_level":0,"power_base":0,"power_bonus":0,"mpower_base":0,"mpower_bonus":0,"multiplier_base_ppm":0,"multiplier_bonus_ppm":0,"accuracy_by_level":[],"healing_stat_multiplier":0,"add_caster_level":false,"undead_multiplier_ppm":0,"max_attack_bonus_by_level":[],"ready_proc_denominator":0,"ready_proc_numerators":[],"non_undead_divisor":0}</x:t>
        </x:is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  <x:row r="52" ht="56" customHeight="1">
      <x:c r="A52" s="19" t="n">
        <x:v>141</x:v>
      </x:c>
      <x:c r="B52" s="16" t="n">
        <x:v>14</x:v>
      </x:c>
      <x:c r="C52" s="16" t="n">
        <x:v>1</x:v>
      </x:c>
      <x:c r="D52" s="17" t="str">
        <x:v>[{"item_id":28,"quantity":2}]</x:v>
      </x:c>
      <x:c r="E52" s="16" t="n">
        <x:v>5</x:v>
      </x:c>
      <x:c r="F52" s="17" t="str">
        <x:v>{"native_rank":1}</x:v>
      </x:c>
      <x:c r="G52" s="9" t="b">
        <x:v>1</x:v>
      </x:c>
      <x:c r="H52" s="17" t="str">
        <x:v>candidate</x:v>
      </x:c>
      <x:c r="I52" s="18" t="str">
        <x:v>用户2026-10-27目标阶+1书本；docs/战斗状态与防御技能实施边界.md；资料参考/crystal/Server/MirObjects/HumanObject.cs与MirEnvir/Map.cs；开发候选，非目标1.80认证</x:v>
      </x:c>
      <x:c r="J52" s="18" t="str">
        <x:v>书本公式为用户确定；页数与等级门槛候选，保留源GetPower/耗蓝/准确差异，不改射程/目标/动作。</x:v>
      </x:c>
      <x:c r="K52" s="16" t="n">
        <x:v>22</x:v>
      </x:c>
      <x:c r="L52" s="16" t="n">
        <x:v>900001</x:v>
      </x:c>
    </x:row>
    <x:row r="53" ht="56" customHeight="1">
      <x:c r="A53" s="19" t="n">
        <x:v>142</x:v>
      </x:c>
      <x:c r="B53" s="16" t="n">
        <x:v>14</x:v>
      </x:c>
      <x:c r="C53" s="16" t="n">
        <x:v>2</x:v>
      </x:c>
      <x:c r="D53" s="17" t="str">
        <x:v>[{"item_id":28,"quantity":3}]</x:v>
      </x:c>
      <x:c r="E53" s="16" t="n">
        <x:v>10</x:v>
      </x:c>
      <x:c r="F53" s="17" t="str">
        <x:v>{"native_rank":2}</x:v>
      </x:c>
      <x:c r="G53" s="9" t="b">
        <x:v>1</x:v>
      </x:c>
      <x:c r="H53" s="17" t="str">
        <x:v>candidate</x:v>
      </x:c>
      <x:c r="I53" s="18" t="str">
        <x:v>用户2026-10-27目标阶+1书本；docs/战斗状态与防御技能实施边界.md；资料参考/crystal/Server/MirObjects/HumanObject.cs与MirEnvir/Map.cs；开发候选，非目标1.80认证</x:v>
      </x:c>
      <x:c r="J53" s="18" t="str">
        <x:v>书本公式为用户确定；页数与等级门槛候选，保留源GetPower/耗蓝/准确差异，不改射程/目标/动作。</x:v>
      </x:c>
      <x:c r="K53" s="16" t="n">
        <x:v>24</x:v>
      </x:c>
      <x:c r="L53" s="16" t="n">
        <x:v>900001</x:v>
      </x:c>
    </x:row>
    <x:row r="54" ht="56" customHeight="1">
      <x:c r="A54" s="19" t="n">
        <x:v>143</x:v>
      </x:c>
      <x:c r="B54" s="16" t="n">
        <x:v>14</x:v>
      </x:c>
      <x:c r="C54" s="16" t="n">
        <x:v>3</x:v>
      </x:c>
      <x:c r="D54" s="17" t="str">
        <x:v>[{"item_id":28,"quantity":4}]</x:v>
      </x:c>
      <x:c r="E54" s="16" t="n">
        <x:v>20</x:v>
      </x:c>
      <x:c r="F54" s="17" t="str">
        <x:v>{"native_rank":3}</x:v>
      </x:c>
      <x:c r="G54" s="9" t="b">
        <x:v>1</x:v>
      </x:c>
      <x:c r="H54" s="17" t="str">
        <x:v>candidate</x:v>
      </x:c>
      <x:c r="I54" s="18" t="str">
        <x:v>用户2026-10-27目标阶+1书本；docs/战斗状态与防御技能实施边界.md；资料参考/crystal/Server/MirObjects/HumanObject.cs与MirEnvir/Map.cs；开发候选，非目标1.80认证</x:v>
      </x:c>
      <x:c r="J54" s="18" t="str">
        <x:v>书本公式为用户确定；页数与等级门槛候选，保留源GetPower/耗蓝/准确差异，不改射程/目标/动作。</x:v>
      </x:c>
      <x:c r="K54" s="16" t="n">
        <x:v>26</x:v>
      </x:c>
      <x:c r="L54" s="16" t="n">
        <x:v>900001</x:v>
      </x:c>
    </x:row>
    <x:row r="55" ht="56" customHeight="1">
      <x:c r="A55" s="19" t="n">
        <x:v>151</x:v>
      </x:c>
      <x:c r="B55" s="16" t="n">
        <x:v>15</x:v>
      </x:c>
      <x:c r="C55" s="16" t="n">
        <x:v>1</x:v>
      </x:c>
      <x:c r="D55" s="17" t="str">
        <x:v>[{"item_id":29,"quantity":2}]</x:v>
      </x:c>
      <x:c r="E55" s="16" t="n">
        <x:v>5</x:v>
      </x:c>
      <x:c r="F55" s="17" t="str">
        <x:v>{"native_rank":1}</x:v>
      </x:c>
      <x:c r="G55" s="9" t="b">
        <x:v>1</x:v>
      </x:c>
      <x:c r="H55" s="17" t="str">
        <x:v>candidate</x:v>
      </x:c>
      <x:c r="I55" s="18" t="str">
        <x:v>用户2026-10-27目标阶+1书本；docs/战斗状态与防御技能实施边界.md；资料参考/crystal/Server/MirObjects/HumanObject.cs与MirEnvir/Map.cs；开发候选，非目标1.80认证</x:v>
      </x:c>
      <x:c r="J55" s="18" t="str">
        <x:v>书本公式为用户确定；页数与等级门槛候选，保留源GetPower/耗蓝/准确差异，不改射程/目标/动作。</x:v>
      </x:c>
      <x:c r="K55" s="16" t="n">
        <x:v>25</x:v>
      </x:c>
      <x:c r="L55" s="16" t="n">
        <x:v>900001</x:v>
      </x:c>
    </x:row>
    <x:row r="56" ht="56" customHeight="1">
      <x:c r="A56" s="19" t="n">
        <x:v>152</x:v>
      </x:c>
      <x:c r="B56" s="16" t="n">
        <x:v>15</x:v>
      </x:c>
      <x:c r="C56" s="16" t="n">
        <x:v>2</x:v>
      </x:c>
      <x:c r="D56" s="17" t="str">
        <x:v>[{"item_id":29,"quantity":3}]</x:v>
      </x:c>
      <x:c r="E56" s="16" t="n">
        <x:v>10</x:v>
      </x:c>
      <x:c r="F56" s="17" t="str">
        <x:v>{"native_rank":2}</x:v>
      </x:c>
      <x:c r="G56" s="9" t="b">
        <x:v>1</x:v>
      </x:c>
      <x:c r="H56" s="17" t="str">
        <x:v>candidate</x:v>
      </x:c>
      <x:c r="I56" s="18" t="str">
        <x:v>用户2026-10-27目标阶+1书本；docs/战斗状态与防御技能实施边界.md；资料参考/crystal/Server/MirObjects/HumanObject.cs与MirEnvir/Map.cs；开发候选，非目标1.80认证</x:v>
      </x:c>
      <x:c r="J56" s="18" t="str">
        <x:v>书本公式为用户确定；页数与等级门槛候选，保留源GetPower/耗蓝/准确差异，不改射程/目标/动作。</x:v>
      </x:c>
      <x:c r="K56" s="16" t="n">
        <x:v>27</x:v>
      </x:c>
      <x:c r="L56" s="16" t="n">
        <x:v>900001</x:v>
      </x:c>
    </x:row>
    <x:row r="57" ht="56" customHeight="1">
      <x:c r="A57" s="19" t="n">
        <x:v>153</x:v>
      </x:c>
      <x:c r="B57" s="16" t="n">
        <x:v>15</x:v>
      </x:c>
      <x:c r="C57" s="16" t="n">
        <x:v>3</x:v>
      </x:c>
      <x:c r="D57" s="17" t="str">
        <x:v>[{"item_id":29,"quantity":4}]</x:v>
      </x:c>
      <x:c r="E57" s="16" t="n">
        <x:v>20</x:v>
      </x:c>
      <x:c r="F57" s="17" t="str">
        <x:v>{"native_rank":3}</x:v>
      </x:c>
      <x:c r="G57" s="9" t="b">
        <x:v>1</x:v>
      </x:c>
      <x:c r="H57" s="17" t="str">
        <x:v>candidate</x:v>
      </x:c>
      <x:c r="I57" s="18" t="str">
        <x:v>用户2026-10-27目标阶+1书本；docs/战斗状态与防御技能实施边界.md；资料参考/crystal/Server/MirObjects/HumanObject.cs与MirEnvir/Map.cs；开发候选，非目标1.80认证</x:v>
      </x:c>
      <x:c r="J57" s="18" t="str">
        <x:v>书本公式为用户确定；页数与等级门槛候选，保留源GetPower/耗蓝/准确差异，不改射程/目标/动作。</x:v>
      </x:c>
      <x:c r="K57" s="16" t="n">
        <x:v>29</x:v>
      </x:c>
      <x:c r="L57" s="16" t="n">
        <x:v>900001</x:v>
      </x:c>
    </x:row>
    <x:row r="58" ht="56" customHeight="1">
      <x:c r="A58" s="19" t="n">
        <x:v>311</x:v>
      </x:c>
      <x:c r="B58" s="16" t="n">
        <x:v>31</x:v>
      </x:c>
      <x:c r="C58" s="16" t="n">
        <x:v>1</x:v>
      </x:c>
      <x:c r="D58" s="17" t="str">
        <x:v>[{"item_id":18,"quantity":2}]</x:v>
      </x:c>
      <x:c r="E58" s="16" t="n">
        <x:v>5</x:v>
      </x:c>
      <x:c r="F58" s="17" t="str">
        <x:v>{"native_rank":1}</x:v>
      </x:c>
      <x:c r="G58" s="9" t="b">
        <x:v>1</x:v>
      </x:c>
      <x:c r="H58" s="17" t="str">
        <x:v>candidate</x:v>
      </x:c>
      <x:c r="I58" s="18" t="str">
        <x:v>用户2026-10-27目标阶+1书本；docs/战斗状态与防御技能实施边界.md；资料参考/crystal/Server/MirObjects/HumanObject.cs与MirEnvir/Map.cs；开发候选，非目标1.80认证</x:v>
      </x:c>
      <x:c r="J58" s="18" t="str">
        <x:v>书本公式为用户确定；页数与等级门槛候选，保留源GetPower/耗蓝/准确差异，不改射程/目标/动作。</x:v>
      </x:c>
      <x:c r="K58" s="16" t="n">
        <x:v>31</x:v>
      </x:c>
      <x:c r="L58" s="16" t="n">
        <x:v>900001</x:v>
      </x:c>
    </x:row>
    <x:row r="59" ht="56" customHeight="1">
      <x:c r="A59" s="19" t="n">
        <x:v>312</x:v>
      </x:c>
      <x:c r="B59" s="16" t="n">
        <x:v>31</x:v>
      </x:c>
      <x:c r="C59" s="16" t="n">
        <x:v>2</x:v>
      </x:c>
      <x:c r="D59" s="17" t="str">
        <x:v>[{"item_id":18,"quantity":3}]</x:v>
      </x:c>
      <x:c r="E59" s="16" t="n">
        <x:v>10</x:v>
      </x:c>
      <x:c r="F59" s="17" t="str">
        <x:v>{"native_rank":2}</x:v>
      </x:c>
      <x:c r="G59" s="9" t="b">
        <x:v>1</x:v>
      </x:c>
      <x:c r="H59" s="17" t="str">
        <x:v>candidate</x:v>
      </x:c>
      <x:c r="I59" s="18" t="str">
        <x:v>用户2026-10-27目标阶+1书本；docs/战斗状态与防御技能实施边界.md；资料参考/crystal/Server/MirObjects/HumanObject.cs与MirEnvir/Map.cs；开发候选，非目标1.80认证</x:v>
      </x:c>
      <x:c r="J59" s="18" t="str">
        <x:v>书本公式为用户确定；页数与等级门槛候选，保留源GetPower/耗蓝/准确差异，不改射程/目标/动作。</x:v>
      </x:c>
      <x:c r="K59" s="16" t="n">
        <x:v>34</x:v>
      </x:c>
      <x:c r="L59" s="16" t="n">
        <x:v>900001</x:v>
      </x:c>
    </x:row>
    <x:row r="60" ht="56" customHeight="1">
      <x:c r="A60" s="19" t="n">
        <x:v>313</x:v>
      </x:c>
      <x:c r="B60" s="16" t="n">
        <x:v>31</x:v>
      </x:c>
      <x:c r="C60" s="16" t="n">
        <x:v>3</x:v>
      </x:c>
      <x:c r="D60" s="17" t="str">
        <x:v>[{"item_id":18,"quantity":4}]</x:v>
      </x:c>
      <x:c r="E60" s="16" t="n">
        <x:v>20</x:v>
      </x:c>
      <x:c r="F60" s="17" t="str">
        <x:v>{"native_rank":3}</x:v>
      </x:c>
      <x:c r="G60" s="9" t="b">
        <x:v>1</x:v>
      </x:c>
      <x:c r="H60" s="17" t="str">
        <x:v>candidate</x:v>
      </x:c>
      <x:c r="I60" s="18" t="str">
        <x:v>用户2026-10-27目标阶+1书本；docs/战斗状态与防御技能实施边界.md；资料参考/crystal/Server/MirObjects/HumanObject.cs与MirEnvir/Map.cs；开发候选，非目标1.80认证</x:v>
      </x:c>
      <x:c r="J60" s="18" t="str">
        <x:v>书本公式为用户确定；页数与等级门槛候选，保留源GetPower/耗蓝/准确差异，不改射程/目标/动作。</x:v>
      </x:c>
      <x:c r="K60" s="16" t="n">
        <x:v>38</x:v>
      </x:c>
      <x:c r="L60" s="16" t="n">
        <x:v>900001</x:v>
      </x:c>
    </x:row>
    <x:row r="61" ht="56" customHeight="1">
      <x:c r="A61" s="19">
        <x:v>81</x:v>
      </x:c>
      <x:c r="B61" s="16">
        <x:v>8</x:v>
      </x:c>
      <x:c r="C61" s="16">
        <x:v>1</x:v>
      </x:c>
      <x:c r="D61" s="17" t="inlineStr">
        <x:is>
          <x:t xml:space="preserve">[{"item_id":8,"quantity":2}]</x:t>
        </x:is>
      </x:c>
      <x:c r="E61" s="16">
        <x:v>5</x:v>
      </x:c>
      <x:c r="F61" s="17" t="inlineStr">
        <x:is>
          <x:t xml:space="preserve">{"native_rank":1}</x:t>
        </x:is>
      </x:c>
      <x:c r="G61" s="9" t="b">
        <x:v>1</x:v>
      </x:c>
      <x:c r="H61" s="17" t="inlineStr">
        <x:is>
          <x:t xml:space="preserve">candidate</x:t>
        </x:is>
      </x:c>
      <x:c r="I61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1" s="18" t="inlineStr">
        <x:is>
          <x:t xml:space="preserve">书本目标阶+1为用户已定；页数与学习门槛为开发候选。距离随原生阶变化已获用户明确审定，其余行为形状保持。</x:t>
        </x:is>
      </x:c>
      <x:c r="K61" s="16">
        <x:v>12</x:v>
      </x:c>
      <x:c r="L61" s="16">
        <x:v>900001</x:v>
      </x:c>
    </x:row>
    <x:row r="62" ht="56" customHeight="1">
      <x:c r="A62" s="19">
        <x:v>82</x:v>
      </x:c>
      <x:c r="B62" s="16">
        <x:v>8</x:v>
      </x:c>
      <x:c r="C62" s="16">
        <x:v>2</x:v>
      </x:c>
      <x:c r="D62" s="17" t="inlineStr">
        <x:is>
          <x:t xml:space="preserve">[{"item_id":8,"quantity":3}]</x:t>
        </x:is>
      </x:c>
      <x:c r="E62" s="16">
        <x:v>10</x:v>
      </x:c>
      <x:c r="F62" s="17" t="inlineStr">
        <x:is>
          <x:t xml:space="preserve">{"native_rank":2}</x:t>
        </x:is>
      </x:c>
      <x:c r="G62" s="9" t="b">
        <x:v>1</x:v>
      </x:c>
      <x:c r="H62" s="17" t="inlineStr">
        <x:is>
          <x:t xml:space="preserve">candidate</x:t>
        </x:is>
      </x:c>
      <x:c r="I62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2" s="18" t="inlineStr">
        <x:is>
          <x:t xml:space="preserve">书本目标阶+1为用户已定；页数与学习门槛为开发候选。距离随原生阶变化已获用户明确审定，其余行为形状保持。</x:t>
        </x:is>
      </x:c>
      <x:c r="K62" s="16">
        <x:v>15</x:v>
      </x:c>
      <x:c r="L62" s="16">
        <x:v>900001</x:v>
      </x:c>
    </x:row>
    <x:row r="63" ht="56" customHeight="1">
      <x:c r="A63" s="19">
        <x:v>83</x:v>
      </x:c>
      <x:c r="B63" s="16">
        <x:v>8</x:v>
      </x:c>
      <x:c r="C63" s="16">
        <x:v>3</x:v>
      </x:c>
      <x:c r="D63" s="17" t="inlineStr">
        <x:is>
          <x:t xml:space="preserve">[{"item_id":8,"quantity":4}]</x:t>
        </x:is>
      </x:c>
      <x:c r="E63" s="16">
        <x:v>20</x:v>
      </x:c>
      <x:c r="F63" s="17" t="inlineStr">
        <x:is>
          <x:t xml:space="preserve">{"native_rank":3}</x:t>
        </x:is>
      </x:c>
      <x:c r="G63" s="9" t="b">
        <x:v>1</x:v>
      </x:c>
      <x:c r="H63" s="17" t="inlineStr">
        <x:is>
          <x:t xml:space="preserve">candidate</x:t>
        </x:is>
      </x:c>
      <x:c r="I63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3" s="18" t="inlineStr">
        <x:is>
          <x:t xml:space="preserve">书本目标阶+1为用户已定；页数与学习门槛为开发候选。距离随原生阶变化已获用户明确审定，其余行为形状保持。</x:t>
        </x:is>
      </x:c>
      <x:c r="K63" s="16">
        <x:v>19</x:v>
      </x:c>
      <x:c r="L63" s="16">
        <x:v>900001</x:v>
      </x:c>
    </x:row>
    <x:row r="64" ht="56" customHeight="1">
      <x:c r="A64" s="19">
        <x:v>271</x:v>
      </x:c>
      <x:c r="B64" s="16">
        <x:v>27</x:v>
      </x:c>
      <x:c r="C64" s="16">
        <x:v>1</x:v>
      </x:c>
      <x:c r="D64" s="17" t="inlineStr">
        <x:is>
          <x:t xml:space="preserve">[{"item_id":5,"quantity":2}]</x:t>
        </x:is>
      </x:c>
      <x:c r="E64" s="16">
        <x:v>5</x:v>
      </x:c>
      <x:c r="F64" s="17" t="inlineStr">
        <x:is>
          <x:t xml:space="preserve">{"native_rank":1}</x:t>
        </x:is>
      </x:c>
      <x:c r="G64" s="9" t="b">
        <x:v>1</x:v>
      </x:c>
      <x:c r="H64" s="17" t="inlineStr">
        <x:is>
          <x:t xml:space="preserve">candidate</x:t>
        </x:is>
      </x:c>
      <x:c r="I6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4" s="18" t="inlineStr">
        <x:is>
          <x:t xml:space="preserve">书本目标阶+1为用户已定；页数与学习门槛为开发候选。距离随原生阶变化已获用户明确审定，其余行为形状保持。</x:t>
        </x:is>
      </x:c>
      <x:c r="K64" s="16">
        <x:v>30</x:v>
      </x:c>
      <x:c r="L64" s="16">
        <x:v>900001</x:v>
      </x:c>
    </x:row>
    <x:row r="65" ht="56" customHeight="1">
      <x:c r="A65" s="19">
        <x:v>272</x:v>
      </x:c>
      <x:c r="B65" s="16">
        <x:v>27</x:v>
      </x:c>
      <x:c r="C65" s="16">
        <x:v>2</x:v>
      </x:c>
      <x:c r="D65" s="17" t="inlineStr">
        <x:is>
          <x:t xml:space="preserve">[{"item_id":5,"quantity":3}]</x:t>
        </x:is>
      </x:c>
      <x:c r="E65" s="16">
        <x:v>10</x:v>
      </x:c>
      <x:c r="F65" s="17" t="inlineStr">
        <x:is>
          <x:t xml:space="preserve">{"native_rank":2}</x:t>
        </x:is>
      </x:c>
      <x:c r="G65" s="9" t="b">
        <x:v>1</x:v>
      </x:c>
      <x:c r="H65" s="17" t="inlineStr">
        <x:is>
          <x:t xml:space="preserve">candidate</x:t>
        </x:is>
      </x:c>
      <x:c r="I6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5" s="18" t="inlineStr">
        <x:is>
          <x:t xml:space="preserve">书本目标阶+1为用户已定；页数与学习门槛为开发候选。距离随原生阶变化已获用户明确审定，其余行为形状保持。</x:t>
        </x:is>
      </x:c>
      <x:c r="K65" s="16">
        <x:v>32</x:v>
      </x:c>
      <x:c r="L65" s="16">
        <x:v>900001</x:v>
      </x:c>
    </x:row>
    <x:row r="66" ht="56" customHeight="1">
      <x:c r="A66" s="19">
        <x:v>273</x:v>
      </x:c>
      <x:c r="B66" s="16">
        <x:v>27</x:v>
      </x:c>
      <x:c r="C66" s="16">
        <x:v>3</x:v>
      </x:c>
      <x:c r="D66" s="17" t="inlineStr">
        <x:is>
          <x:t xml:space="preserve">[{"item_id":5,"quantity":4}]</x:t>
        </x:is>
      </x:c>
      <x:c r="E66" s="16">
        <x:v>20</x:v>
      </x:c>
      <x:c r="F66" s="17" t="inlineStr">
        <x:is>
          <x:t xml:space="preserve">{"native_rank":3}</x:t>
        </x:is>
      </x:c>
      <x:c r="G66" s="9" t="b">
        <x:v>1</x:v>
      </x:c>
      <x:c r="H66" s="17" t="inlineStr">
        <x:is>
          <x:t xml:space="preserve">candidate</x:t>
        </x:is>
      </x:c>
      <x:c r="I66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6" s="18" t="inlineStr">
        <x:is>
          <x:t xml:space="preserve">书本目标阶+1为用户已定；页数与学习门槛为开发候选。距离随原生阶变化已获用户明确审定，其余行为形状保持。</x:t>
        </x:is>
      </x:c>
      <x:c r="K66" s="16">
        <x:v>34</x:v>
      </x:c>
      <x:c r="L66" s="16">
        <x:v>900001</x:v>
      </x:c>
    </x:row>
    <x:row r="67" ht="56" customHeight="1">
      <x:c r="A67" s="19">
        <x:v>211</x:v>
      </x:c>
      <x:c r="B67" s="16">
        <x:v>21</x:v>
      </x:c>
      <x:c r="C67" s="16">
        <x:v>1</x:v>
      </x:c>
      <x:c r="D67" s="17" t="inlineStr">
        <x:is>
          <x:t xml:space="preserve">[{"item_id":13,"quantity":2}]</x:t>
        </x:is>
      </x:c>
      <x:c r="E67" s="16">
        <x:v>5</x:v>
      </x:c>
      <x:c r="F67" s="17" t="inlineStr">
        <x:is>
          <x:t xml:space="preserve">{"native_rank":1}</x:t>
        </x:is>
      </x:c>
      <x:c r="G67" s="9" t="b">
        <x:v>1</x:v>
      </x:c>
      <x:c r="H67" s="17" t="inlineStr">
        <x:is>
          <x:t xml:space="preserve">candidate</x:t>
        </x:is>
      </x:c>
      <x:c r="I67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7" s="18" t="inlineStr">
        <x:is>
          <x:t xml:space="preserve">仅native_rank改变MP和原生随机轴除数；书本2/3/4为用户既定公式，页数5/10/20候选保留，不启用随机练功。</x:t>
        </x:is>
      </x:c>
      <x:c r="K67" s="16">
        <x:v>19</x:v>
      </x:c>
      <x:c r="L67" s="16">
        <x:v>900001</x:v>
      </x:c>
    </x:row>
    <x:row r="68" ht="56" customHeight="1">
      <x:c r="A68" s="19">
        <x:v>212</x:v>
      </x:c>
      <x:c r="B68" s="16">
        <x:v>21</x:v>
      </x:c>
      <x:c r="C68" s="16">
        <x:v>2</x:v>
      </x:c>
      <x:c r="D68" s="17" t="inlineStr">
        <x:is>
          <x:t xml:space="preserve">[{"item_id":13,"quantity":3}]</x:t>
        </x:is>
      </x:c>
      <x:c r="E68" s="16">
        <x:v>10</x:v>
      </x:c>
      <x:c r="F68" s="17" t="inlineStr">
        <x:is>
          <x:t xml:space="preserve">{"native_rank":2}</x:t>
        </x:is>
      </x:c>
      <x:c r="G68" s="9" t="b">
        <x:v>1</x:v>
      </x:c>
      <x:c r="H68" s="17" t="inlineStr">
        <x:is>
          <x:t xml:space="preserve">candidate</x:t>
        </x:is>
      </x:c>
      <x:c r="I68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8" s="18" t="inlineStr">
        <x:is>
          <x:t xml:space="preserve">仅native_rank改变MP和原生随机轴除数；书本2/3/4为用户既定公式，页数5/10/20候选保留，不启用随机练功。</x:t>
        </x:is>
      </x:c>
      <x:c r="K68" s="16">
        <x:v>22</x:v>
      </x:c>
      <x:c r="L68" s="16">
        <x:v>900001</x:v>
      </x:c>
    </x:row>
    <x:row r="69" ht="56" customHeight="1">
      <x:c r="A69" s="19">
        <x:v>213</x:v>
      </x:c>
      <x:c r="B69" s="16">
        <x:v>21</x:v>
      </x:c>
      <x:c r="C69" s="16">
        <x:v>3</x:v>
      </x:c>
      <x:c r="D69" s="17" t="inlineStr">
        <x:is>
          <x:t xml:space="preserve">[{"item_id":13,"quantity":4}]</x:t>
        </x:is>
      </x:c>
      <x:c r="E69" s="16">
        <x:v>20</x:v>
      </x:c>
      <x:c r="F69" s="17" t="inlineStr">
        <x:is>
          <x:t xml:space="preserve">{"native_rank":3}</x:t>
        </x:is>
      </x:c>
      <x:c r="G69" s="9" t="b">
        <x:v>1</x:v>
      </x:c>
      <x:c r="H69" s="17" t="inlineStr">
        <x:is>
          <x:t xml:space="preserve">candidate</x:t>
        </x:is>
      </x:c>
      <x:c r="I69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9" s="18" t="inlineStr">
        <x:is>
          <x:t xml:space="preserve">仅native_rank改变MP和原生随机轴除数；书本2/3/4为用户既定公式，页数5/10/20候选保留，不启用随机练功。</x:t>
        </x:is>
      </x:c>
      <x:c r="K69" s="16">
        <x:v>25</x:v>
      </x:c>
      <x:c r="L69" s="16">
        <x:v>900001</x:v>
      </x:c>
    </x:row>
    <x:row r="70" ht="56" customHeight="1">
      <x:c r="A70" s="19">
        <x:v>171</x:v>
      </x:c>
      <x:c r="B70" s="16">
        <x:v>17</x:v>
      </x:c>
      <x:c r="C70" s="16">
        <x:v>1</x:v>
      </x:c>
      <x:c r="D70" s="17" t="inlineStr">
        <x:is>
          <x:t xml:space="preserve">[{"item_id":25,"quantity":2}]</x:t>
        </x:is>
      </x:c>
      <x:c r="E70" s="16">
        <x:v>5</x:v>
      </x:c>
      <x:c r="F70" s="17" t="inlineStr">
        <x:is>
          <x:t xml:space="preserve">{"native_rank":1}</x:t>
        </x:is>
      </x:c>
      <x:c r="G70" s="9" t="b">
        <x:v>1</x:v>
      </x:c>
      <x:c r="H70" s="17" t="inlineStr">
        <x:is>
          <x:t xml:space="preserve">candidate</x:t>
        </x:is>
      </x:c>
      <x:c r="I70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0" s="18" t="inlineStr">
        <x:is>
          <x:t xml:space="preserve">仅关闭召唤catalog逐阶合同，保证完整Cfg.Validate；不进主22技能升级，不开商店/赠书/随机练功。</x:t>
        </x:is>
      </x:c>
      <x:c r="K70" s="16">
        <x:v>19</x:v>
      </x:c>
      <x:c r="L70" s="16">
        <x:v>900001</x:v>
      </x:c>
    </x:row>
    <x:row r="71" ht="56" customHeight="1">
      <x:c r="A71" s="19">
        <x:v>172</x:v>
      </x:c>
      <x:c r="B71" s="16">
        <x:v>17</x:v>
      </x:c>
      <x:c r="C71" s="16">
        <x:v>2</x:v>
      </x:c>
      <x:c r="D71" s="17" t="inlineStr">
        <x:is>
          <x:t xml:space="preserve">[{"item_id":25,"quantity":3}]</x:t>
        </x:is>
      </x:c>
      <x:c r="E71" s="16">
        <x:v>10</x:v>
      </x:c>
      <x:c r="F71" s="17" t="inlineStr">
        <x:is>
          <x:t xml:space="preserve">{"native_rank":2}</x:t>
        </x:is>
      </x:c>
      <x:c r="G71" s="9" t="b">
        <x:v>1</x:v>
      </x:c>
      <x:c r="H71" s="17" t="inlineStr">
        <x:is>
          <x:t xml:space="preserve">candidate</x:t>
        </x:is>
      </x:c>
      <x:c r="I71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1" s="18" t="inlineStr">
        <x:is>
          <x:t xml:space="preserve">仅关闭召唤catalog逐阶合同，保证完整Cfg.Validate；不进主22技能升级，不开商店/赠书/随机练功。</x:t>
        </x:is>
      </x:c>
      <x:c r="K71" s="16">
        <x:v>22</x:v>
      </x:c>
      <x:c r="L71" s="16">
        <x:v>900001</x:v>
      </x:c>
    </x:row>
    <x:row r="72" ht="56" customHeight="1">
      <x:c r="A72" s="19">
        <x:v>173</x:v>
      </x:c>
      <x:c r="B72" s="16">
        <x:v>17</x:v>
      </x:c>
      <x:c r="C72" s="16">
        <x:v>3</x:v>
      </x:c>
      <x:c r="D72" s="17" t="inlineStr">
        <x:is>
          <x:t xml:space="preserve">[{"item_id":25,"quantity":4}]</x:t>
        </x:is>
      </x:c>
      <x:c r="E72" s="16">
        <x:v>20</x:v>
      </x:c>
      <x:c r="F72" s="17" t="inlineStr">
        <x:is>
          <x:t xml:space="preserve">{"native_rank":3}</x:t>
        </x:is>
      </x:c>
      <x:c r="G72" s="9" t="b">
        <x:v>1</x:v>
      </x:c>
      <x:c r="H72" s="17" t="inlineStr">
        <x:is>
          <x:t xml:space="preserve">candidate</x:t>
        </x:is>
      </x:c>
      <x:c r="I72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2" s="18" t="inlineStr">
        <x:is>
          <x:t xml:space="preserve">仅关闭召唤catalog逐阶合同，保证完整Cfg.Validate；不进主22技能升级，不开商店/赠书/随机练功。</x:t>
        </x:is>
      </x:c>
      <x:c r="K72" s="16">
        <x:v>26</x:v>
      </x:c>
      <x:c r="L72" s="16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  <x:col min="13" max="13" width="58" hidden="0" customWidth="1"/>
    <x:col min="14" max="14" width="24" hidden="0" customWidth="1"/>
    <x:col min="15" max="15" width="24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  <x:c r="M1" s="7" t="str">
        <x:v>按施法属性计算时长</x:v>
      </x:c>
      <x:c r="N1" s="7" t="str">
        <x:v>状态名称</x:v>
      </x:c>
      <x:c r="O1" s="7" t="str">
        <x:v>徽标短名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  <x:c r="M2" s="12" t="str">
        <x:v>duration_rule</x:v>
      </x:c>
      <x:c r="N2" s="12" t="str">
        <x:v>display_name</x:v>
      </x:c>
      <x:c r="O2" s="12" t="str">
        <x:v>short_name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  <x:c r="M3" s="15" t="str">
        <x:v>json / 必填 / both</x:v>
      </x:c>
      <x:c r="N3" s="15" t="str">
        <x:v>string / 必填 / both</x:v>
      </x:c>
      <x:c r="O3" s="15" t="str">
        <x:v>string / 必填 / client</x:v>
      </x:c>
    </x:row>
    <x:row r="4" ht="160" hidden="0" customHeight="1">
      <x:c r="A4" s="23" t="n">
        <x:v>14</x:v>
      </x:c>
      <x:c r="B4" s="23" t="str">
        <x:v>soul_shield</x:v>
      </x:c>
      <x:c r="C4" s="23" t="str">
        <x:v>{"kind":"max_magic_defence","value_by_level":[0,0,0,0],"target_level_divisor":7,"target_level_add":4,"hit_duration_loss_ms_per_hp":0}</x:v>
      </x:c>
      <x:c r="D4" s="23" t="n">
        <x:v>0</x:v>
      </x:c>
      <x:c r="E4" s="23" t="n">
        <x:v>1000</x:v>
      </x:c>
      <x:c r="F4" s="23" t="str">
        <x:v>refresh_duration_keep_values</x:v>
      </x:c>
      <x:c r="G4" s="23" t="str">
        <x:v>["despawn","scene_dispose"]</x:v>
      </x:c>
      <x:c r="H4" s="23" t="str">
        <x:v>{"allow_dead_targets":true,"friendly_only":true}</x:v>
      </x:c>
      <x:c r="I4" s="23" t="str">
        <x:v>source_defence_candidate</x:v>
      </x:c>
      <x:c r="J4" s="23" t="str">
        <x:v>candidate</x:v>
      </x:c>
      <x:c r="K4" s="23" t="str">
        <x:v>docs/战斗状态与防御技能实施边界.md；资料参考/crystal/Server/MirObjects/HumanObject.cs与MirEnvir/Map.cs；开发候选，非目标1.80认证</x:v>
      </x:c>
      <x:c r="L4" s="23" t="str">
        <x:v>duration_ms=0表示无固定毫秒分量，实际时长按duration_rule计算。时钟按actualNow离散推进；重施/受击均不重置LastTime和NextTime。</x:v>
      </x:c>
      <x:c r="M4" s="23" t="str">
        <x:v>{"kind":"sc_rank_linear","stat_add":0,"stat_multiplier":4,"seconds_by_level":[50,100,150,200]}</x:v>
      </x:c>
      <x:c r="N4" s="23" t="str">
        <x:v>幽灵盾</x:v>
      </x:c>
      <x:c r="O4" s="23" t="str">
        <x:v>幽盾</x:v>
      </x:c>
    </x:row>
    <x:row r="5" ht="160" hidden="0" customHeight="1">
      <x:c r="A5" s="23" t="n">
        <x:v>15</x:v>
      </x:c>
      <x:c r="B5" s="23" t="str">
        <x:v>blessed_armour</x:v>
      </x:c>
      <x:c r="C5" s="23" t="str">
        <x:v>{"kind":"max_physical_defence","value_by_level":[0,0,0,0],"target_level_divisor":7,"target_level_add":4,"hit_duration_loss_ms_per_hp":0}</x:v>
      </x:c>
      <x:c r="D5" s="23" t="n">
        <x:v>0</x:v>
      </x:c>
      <x:c r="E5" s="23" t="n">
        <x:v>1000</x:v>
      </x:c>
      <x:c r="F5" s="23" t="str">
        <x:v>refresh_duration_keep_values</x:v>
      </x:c>
      <x:c r="G5" s="23" t="str">
        <x:v>["despawn","scene_dispose"]</x:v>
      </x:c>
      <x:c r="H5" s="23" t="str">
        <x:v>{"allow_dead_targets":true,"friendly_only":true}</x:v>
      </x:c>
      <x:c r="I5" s="23" t="str">
        <x:v>source_defence_candidate</x:v>
      </x:c>
      <x:c r="J5" s="23" t="str">
        <x:v>candidate</x:v>
      </x:c>
      <x:c r="K5" s="23" t="str">
        <x:v>docs/战斗状态与防御技能实施边界.md；资料参考/crystal/Server/MirObjects/HumanObject.cs与MirEnvir/Map.cs；开发候选，非目标1.80认证</x:v>
      </x:c>
      <x:c r="L5" s="23" t="str">
        <x:v>duration_ms=0表示无固定毫秒分量，实际时长按duration_rule计算。时钟按actualNow离散推进；重施/受击均不重置LastTime和NextTime。</x:v>
      </x:c>
      <x:c r="M5" s="23" t="str">
        <x:v>{"kind":"sc_rank_linear","stat_add":0,"stat_multiplier":4,"seconds_by_level":[50,100,150,200]}</x:v>
      </x:c>
      <x:c r="N5" s="23" t="str">
        <x:v>神圣战甲术</x:v>
      </x:c>
      <x:c r="O5" s="23" t="str">
        <x:v>战甲</x:v>
      </x:c>
    </x:row>
    <x:row r="6" ht="160" hidden="0" customHeight="1">
      <x:c r="A6" s="23" t="n">
        <x:v>31</x:v>
      </x:c>
      <x:c r="B6" s="23" t="str">
        <x:v>magic_shield</x:v>
      </x:c>
      <x:c r="C6" s="23" t="str">
        <x:v>{"kind":"magic_shield","value_by_level":[20,30,40,50],"target_level_divisor":0,"target_level_add":0,"hit_duration_loss_ms_per_hp":60}</x:v>
      </x:c>
      <x:c r="D6" s="23" t="n">
        <x:v>0</x:v>
      </x:c>
      <x:c r="E6" s="23" t="n">
        <x:v>1000</x:v>
      </x:c>
      <x:c r="F6" s="23" t="str">
        <x:v>ignore_present_on_impact</x:v>
      </x:c>
      <x:c r="G6" s="23" t="str">
        <x:v>["player_death","despawn","scene_dispose"]</x:v>
      </x:c>
      <x:c r="H6" s="23" t="str">
        <x:v>{"allow_dead_targets":false,"friendly_only":true}</x:v>
      </x:c>
      <x:c r="I6" s="23" t="str">
        <x:v>source_defence_candidate</x:v>
      </x:c>
      <x:c r="J6" s="23" t="str">
        <x:v>candidate</x:v>
      </x:c>
      <x:c r="K6" s="23" t="str">
        <x:v>docs/战斗状态与防御技能实施边界.md；资料参考/crystal/Server/MirObjects/HumanObject.cs与MirEnvir/Map.cs；开发候选，非目标1.80认证</x:v>
      </x:c>
      <x:c r="L6" s="23" t="str">
        <x:v>duration_ms=0表示无固定毫秒分量，实际时长按duration_rule计算。时钟按actualNow离散推进；重施/受击均不重置LastTime和NextTime。</x:v>
      </x:c>
      <x:c r="M6" s="23" t="str">
        <x:v>{"kind":"mc_source_power","stat_add":15,"stat_multiplier":0,"seconds_by_level":[0,0,0,0]}</x:v>
      </x:c>
      <x:c r="N6" s="23" t="str">
        <x:v>魔法盾</x:v>
      </x:c>
      <x:c r="O6" s="23" t="str">
        <x:v>魔盾</x:v>
      </x:c>
    </x:row>
    <x:row r="7" ht="15" hidden="0" customHeight="1">
      <x:c r="A7" s="19">
        <x:v>21</x:v>
      </x:c>
      <x:c r="B7" s="17" t="inlineStr">
        <x:is>
          <x:t xml:space="preserve">temporal_flux</x:t>
        </x:is>
      </x:c>
      <x:c r="C7" s="17" t="inlineStr">
        <x:is>
          <x:t xml:space="preserve">{"kind":"teleport_mana_penalty","value_by_level":[30,30,30,30],"target_level_divisor":0,"target_level_add":0,"hit_duration_loss_ms_per_hp":0}</x:t>
        </x:is>
      </x:c>
      <x:c r="D7" s="16">
        <x:v>30000</x:v>
      </x:c>
      <x:c r="E7" s="16">
        <x:v>1000</x:v>
      </x:c>
      <x:c r="F7" s="17" t="inlineStr">
        <x:is>
          <x:t xml:space="preserve">refresh_duration_keep_values</x:t>
        </x:is>
      </x:c>
      <x:c r="G7" s="17" t="inlineStr">
        <x:is>
          <x:t xml:space="preserve">["despawn","world_dispose"]</x:t>
        </x:is>
      </x:c>
      <x:c r="H7" s="17" t="inlineStr">
        <x:is>
          <x:t xml:space="preserve">{"allow_dead_targets":true,"friendly_only":true}</x:t>
        </x:is>
      </x:c>
      <x:c r="I7" s="17" t="inlineStr">
        <x:is>
          <x:t xml:space="preserve">source_teleport_candidate</x:t>
        </x:is>
      </x:c>
      <x:c r="J7" s="17" t="inlineStr">
        <x:is>
          <x:t xml:space="preserve">candidate</x:t>
        </x:is>
      </x:c>
      <x:c r="K7" s="18" t="inlineStr">
        <x:is>
          <x:t xml:space="preserve">Crystal Server/MirObjects/HumanObject.cs:6096–6107,397–450；MirObjects/MapObject.cs:570–595；MirDatabase/BuffInfo.cs:19；PlayerObject.cs:578–667；TemporalFlux仅成功后添加、重置时长、不随死亡或安全区暂停</x:t>
        </x:is>
      </x:c>
      <x:c r="L7" s="18" t="inlineStr">
        <x:is>
          <x:t xml:space="preserve">唯一固定时长在duration_ms，秒数数组保持空；百分比只在attribute_effects逐阶数组。成功传送后添加，允许已受理尸体到期成功；健康跨图/重连不移除、不退款、不复活。</x:t>
        </x:is>
      </x:c>
      <x:c r="M7" t="inlineStr">
        <x:is>
          <x:t xml:space="preserve">{"kind":"fixed_ms","stat_add":0,"stat_multiplier":0,"seconds_by_level":[]}</x:t>
        </x:is>
      </x:c>
      <x:c r="N7" t="inlineStr">
        <x:is>
          <x:t xml:space="preserve">时空波动</x:t>
        </x:is>
      </x:c>
      <x:c r="O7" t="inlineStr">
        <x:is>
          <x:t xml:space="preserve">时空</x:t>
        </x:is>
      </x:c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60" hidden="0" customHeight="1">
      <x:c r="A4" s="23" t="n">
        <x:v>14</x:v>
      </x:c>
      <x:c r="B4" s="23" t="str">
        <x:v>apply_soul_shield</x:v>
      </x:c>
      <x:c r="C4" s="23" t="str">
        <x:v>defensive_buff</x:v>
      </x:c>
      <x:c r="D4" s="23" t="str">
        <x:v>{"buff_id":14}</x:v>
      </x:c>
      <x:c r="E4" s="23" t="str">
        <x:v>cast_impact</x:v>
      </x:c>
      <x:c r="F4" s="23" t="str">
        <x:v>{"kind":"friendly_grid"}</x:v>
      </x:c>
      <x:c r="G4" s="23" t="str">
        <x:v>{"per_cast":1}</x:v>
      </x:c>
      <x:c r="H4" s="24" t="b">
        <x:v>0</x:v>
      </x:c>
      <x:c r="I4" s="23" t="str">
        <x:v>candidate</x:v>
      </x:c>
      <x:c r="J4" s="23" t="str">
        <x:v>docs/战斗状态与防御技能实施边界.md；资料参考/crystal/Server/MirObjects/HumanObject.cs与MirEnvir/Map.cs；开发候选，非目标1.80认证</x:v>
      </x:c>
      <x:c r="K4" s="23" t="str">
        <x:v>仅应用引用的有类型防御状态；不递归触发，不把表现完成当权威命中。</x:v>
      </x:c>
    </x:row>
    <x:row r="5" ht="160" hidden="0" customHeight="1">
      <x:c r="A5" s="23" t="n">
        <x:v>15</x:v>
      </x:c>
      <x:c r="B5" s="23" t="str">
        <x:v>apply_blessed_armour</x:v>
      </x:c>
      <x:c r="C5" s="23" t="str">
        <x:v>defensive_buff</x:v>
      </x:c>
      <x:c r="D5" s="23" t="str">
        <x:v>{"buff_id":15}</x:v>
      </x:c>
      <x:c r="E5" s="23" t="str">
        <x:v>cast_impact</x:v>
      </x:c>
      <x:c r="F5" s="23" t="str">
        <x:v>{"kind":"friendly_grid"}</x:v>
      </x:c>
      <x:c r="G5" s="23" t="str">
        <x:v>{"per_cast":1}</x:v>
      </x:c>
      <x:c r="H5" s="24" t="b">
        <x:v>0</x:v>
      </x:c>
      <x:c r="I5" s="23" t="str">
        <x:v>candidate</x:v>
      </x:c>
      <x:c r="J5" s="23" t="str">
        <x:v>docs/战斗状态与防御技能实施边界.md；资料参考/crystal/Server/MirObjects/HumanObject.cs与MirEnvir/Map.cs；开发候选，非目标1.80认证</x:v>
      </x:c>
      <x:c r="K5" s="23" t="str">
        <x:v>仅应用引用的有类型防御状态；不递归触发，不把表现完成当权威命中。</x:v>
      </x:c>
    </x:row>
    <x:row r="6" ht="160" hidden="0" customHeight="1">
      <x:c r="A6" s="23" t="n">
        <x:v>31</x:v>
      </x:c>
      <x:c r="B6" s="23" t="str">
        <x:v>apply_magic_shield</x:v>
      </x:c>
      <x:c r="C6" s="23" t="str">
        <x:v>defensive_buff</x:v>
      </x:c>
      <x:c r="D6" s="23" t="str">
        <x:v>{"buff_id":31}</x:v>
      </x:c>
      <x:c r="E6" s="23" t="str">
        <x:v>cast_impact</x:v>
      </x:c>
      <x:c r="F6" s="23" t="str">
        <x:v>{"kind":"friendly_self"}</x:v>
      </x:c>
      <x:c r="G6" s="23" t="str">
        <x:v>{"per_cast":1}</x:v>
      </x:c>
      <x:c r="H6" s="24" t="b">
        <x:v>0</x:v>
      </x:c>
      <x:c r="I6" s="23" t="str">
        <x:v>candidate</x:v>
      </x:c>
      <x:c r="J6" s="23" t="str">
        <x:v>docs/战斗状态与防御技能实施边界.md；资料参考/crystal/Server/MirObjects/HumanObject.cs与MirEnvir/Map.cs；开发候选，非目标1.80认证</x:v>
      </x:c>
      <x:c r="K6" s="23" t="str">
        <x:v>仅应用引用的有类型防御状态；不递归触发，不把表现完成当权威命中。</x:v>
      </x:c>
    </x:row>
    <x:row r="7" ht="15" hidden="0" customHeight="1">
      <x:c r="A7" s="19">
        <x:v>21</x:v>
      </x:c>
      <x:c r="B7" s="17" t="inlineStr">
        <x:is>
          <x:t xml:space="preserve">apply_temporal_flux_after_teleport</x:t>
        </x:is>
      </x:c>
      <x:c r="C7" s="17" t="inlineStr">
        <x:is>
          <x:t xml:space="preserve">teleport_success_buff</x:t>
        </x:is>
      </x:c>
      <x:c r="D7" s="17" t="inlineStr">
        <x:is>
          <x:t xml:space="preserve">{"buff_id":21}</x:t>
        </x:is>
      </x:c>
      <x:c r="E7" s="17" t="inlineStr">
        <x:is>
          <x:t xml:space="preserve">teleport_success</x:t>
        </x:is>
      </x:c>
      <x:c r="F7" s="17" t="inlineStr">
        <x:is>
          <x:t xml:space="preserve">{"kind":"friendly_self"}</x:t>
        </x:is>
      </x:c>
      <x:c r="G7" s="17" t="inlineStr">
        <x:is>
          <x:t xml:space="preserve">{"per_cast":1}</x:t>
        </x:is>
      </x:c>
      <x:c r="H7" s="2" t="b">
        <x:v>0</x:v>
      </x:c>
      <x:c r="I7" s="17" t="inlineStr">
        <x:is>
          <x:t xml:space="preserve">candidate</x:t>
        </x:is>
      </x:c>
      <x:c r="J7" s="18" t="inlineStr">
        <x:is>
          <x:t xml:space="preserve">Crystal Server/MirObjects/HumanObject.cs:6096–6107,397–450；MirObjects/MapObject.cs:570–595；MirDatabase/BuffInfo.cs:19；PlayerObject.cs:578–667；TemporalFlux仅成功后添加、重置时长、不随死亡或安全区暂停</x:t>
        </x:is>
      </x:c>
      <x:c r="K7" s="18" t="inlineStr">
        <x:is>
          <x:t xml:space="preserve">独立传送成功后置；NoTeleport/200次尝试失败或取消不触发，不能套cast_impact；每次cast至多一次，不递归，也不复活尸体。</x:t>
        </x:is>
      </x:c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>
        <x:v>17</x:v>
      </x:c>
      <x:c r="D4" s="16" t="n">
        <x:v>2</x:v>
      </x:c>
      <x:c r="E4" s="17" t="inlineStr">
        <x:is>
          <x:t xml:space="preserve">{"kind":"inherit_monster_template","owner_job_id":2,"neutral_attributes":{"attack_speed":0,"magic_max":0,"magic_min":0,"magic_resist":0,"tao_max":0,"tao_min":0},"magic_resist_weight_source":"profile_player_shared"}</x:t>
        </x:is>
      </x:c>
      <x:c r="F4" s="17" t="str">
        <x:v>development_melee_adjacent</x:v>
      </x:c>
      <x:c r="G4" s="17" t="inlineStr">
        <x:is>
          <x:t xml:space="preserve">{"source_skill_id":17,"training":{"initial_level_by_rank":[0,1,2,3],"maximum_level_by_rank":[4,5,6,7],"experience_multiplier":3,"owner_range_cells":16,"experience_basis":"owner_actual_granted_experience","grant_phase":"confirmed_owner_experience","eligibility":"alive_same_world_within_owner_range","max_level_ups_per_grant":1,"excess_experience":"keep","at_maximum":"do_not_accumulate","current_hp_on_growth":"keep"},"speed":{"basis":"maximum_training_level","move_reduction_ms_per_level":130,"attack_reduction_ms_per_level":70,"minimum_move_interval_ms":400,"minimum_attack_interval_ms":400},"recall_name":"BoneFamiliar"}</x:t>
        </x:is>
      </x:c>
      <x:c r="H4" s="17" t="inlineStr">
        <x:is>
          <x:t xml:space="preserve">{"corpse_ttl_ms":180000,"spawn_ready_ms":2000,"live_expiry":"no_tame_expiry","cold_enter":"do_not_restore_temporary_pet"}</x:t>
        </x:is>
      </x:c>
      <x:c r="I4" s="17" t="str">
        <x:v>pet_skeleton</x:v>
      </x:c>
      <x:c r="J4" s="17" t="str">
        <x:v>candidate</x:v>
      </x:c>
      <x:c r="K4" s="18" t="inlineStr">
        <x:is>
          <x:t xml:space="preserve">本任务rule16开发候选；资料索引/职业宠物补充来源契约.json；Crystal MonsterObject.cs:811–833,3502–3515；PlayerObject.cs:895–899；Shared/Globals.cs:37；本任务选择BoneFamiliar/AI23行为的跨MYF候选；Crystal MonsterObject.cs:584–599,689–704,734–736,966–1005,1205–1215；MapObject.cs:358–375；不认证MYF Race100等于AI23；MYF Monster.csv:381基础模板由monster_template_id唯一引用；资料索引/职业宠物补充来源契约.json及crystal-supplement/source-slices/Settings.pet-defaults.json:技术行162 SkeletonName=BoneFamiliar；与MYF变异骷髅是明确跨来源候选，不是客户端display_name</x:t>
        </x:is>
      </x:c>
      <x:c r="L4" s="18" t="inlineStr">
        <x:is>
          <x:t xml:space="preserve">rule17主仍原免费legacy_untrained_pet且不训练；summon_skill_id17仅正式候选引用，不加入运行skill_ids。RecallName大小写敏感同名，不由DefinitionID/显示名推断；现有Training.owner_range_cells唯一16兼作源自动Recall范围，未复制第二个16；出生2000/尸体180000不变。</x:t>
        </x:is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>
        <x:v>1</x:v>
      </x:c>
      <x:c r="B4" s="16">
        <x:v>1</x:v>
      </x:c>
      <x:c r="C4" s="16">
        <x:v>0</x:v>
      </x:c>
      <x:c r="D4" s="17" t="inlineStr">
        <x:is>
          <x:t xml:space="preserve">{"hp_bonus":0,"attack_min_bonus":0,"attack_max_bonus":0,"defence_min_bonus":0,"defence_max_bonus":0,"magic_defence_min_bonus":0,"magic_defence_max_bonus":0}</x:t>
        </x:is>
      </x:c>
      <x:c r="E4" s="17" t="inlineStr">
        <x:is>
          <x:t xml:space="preserve">{"required_experience":20000}</x:t>
        </x:is>
      </x:c>
      <x:c r="F4" s="17" t="inlineStr">
        <x:is>
          <x:t xml:space="preserve">candidate</x:t>
        </x:is>
      </x:c>
      <x:c r="G4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4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5" ht="15" hidden="0" customHeight="1">
      <x:c r="A5" s="19">
        <x:v>2</x:v>
      </x:c>
      <x:c r="B5" s="16">
        <x:v>1</x:v>
      </x:c>
      <x:c r="C5" s="16">
        <x:v>1</x:v>
      </x:c>
      <x:c r="D5" s="17" t="inlineStr">
        <x:is>
          <x:t xml:space="preserve">{"hp_bonus":20,"attack_min_bonus":1,"attack_max_bonus":1,"defence_min_bonus":2,"defence_max_bonus":2,"magic_defence_min_bonus":2,"magic_defence_max_bonus":2}</x:t>
        </x:is>
      </x:c>
      <x:c r="E5" s="17" t="inlineStr">
        <x:is>
          <x:t xml:space="preserve">{"required_experience":40000}</x:t>
        </x:is>
      </x:c>
      <x:c r="F5" s="17" t="inlineStr">
        <x:is>
          <x:t xml:space="preserve">candidate</x:t>
        </x:is>
      </x:c>
      <x:c r="G5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5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6" ht="15" hidden="0" customHeight="1">
      <x:c r="A6" s="19">
        <x:v>3</x:v>
      </x:c>
      <x:c r="B6" s="16">
        <x:v>1</x:v>
      </x:c>
      <x:c r="C6" s="16">
        <x:v>2</x:v>
      </x:c>
      <x:c r="D6" s="17" t="inlineStr">
        <x:is>
          <x:t xml:space="preserve">{"hp_bonus":40,"attack_min_bonus":2,"attack_max_bonus":2,"defence_min_bonus":4,"defence_max_bonus":4,"magic_defence_min_bonus":4,"magic_defence_max_bonus":4}</x:t>
        </x:is>
      </x:c>
      <x:c r="E6" s="17" t="inlineStr">
        <x:is>
          <x:t xml:space="preserve">{"required_experience":60000}</x:t>
        </x:is>
      </x:c>
      <x:c r="F6" s="17" t="inlineStr">
        <x:is>
          <x:t xml:space="preserve">candidate</x:t>
        </x:is>
      </x:c>
      <x:c r="G6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6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7" ht="15" hidden="0" customHeight="1">
      <x:c r="A7" s="19">
        <x:v>4</x:v>
      </x:c>
      <x:c r="B7" s="16">
        <x:v>1</x:v>
      </x:c>
      <x:c r="C7" s="16">
        <x:v>3</x:v>
      </x:c>
      <x:c r="D7" s="17" t="inlineStr">
        <x:is>
          <x:t xml:space="preserve">{"hp_bonus":60,"attack_min_bonus":3,"attack_max_bonus":3,"defence_min_bonus":6,"defence_max_bonus":6,"magic_defence_min_bonus":6,"magic_defence_max_bonus":6}</x:t>
        </x:is>
      </x:c>
      <x:c r="E7" s="17" t="inlineStr">
        <x:is>
          <x:t xml:space="preserve">{"required_experience":80000}</x:t>
        </x:is>
      </x:c>
      <x:c r="F7" s="17" t="inlineStr">
        <x:is>
          <x:t xml:space="preserve">candidate</x:t>
        </x:is>
      </x:c>
      <x:c r="G7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7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8" ht="15" hidden="0" customHeight="1">
      <x:c r="A8" s="19">
        <x:v>5</x:v>
      </x:c>
      <x:c r="B8" s="16">
        <x:v>1</x:v>
      </x:c>
      <x:c r="C8" s="16">
        <x:v>4</x:v>
      </x:c>
      <x:c r="D8" s="17" t="inlineStr">
        <x:is>
          <x:t xml:space="preserve">{"hp_bonus":80,"attack_min_bonus":4,"attack_max_bonus":4,"defence_min_bonus":8,"defence_max_bonus":8,"magic_defence_min_bonus":8,"magic_defence_max_bonus":8}</x:t>
        </x:is>
      </x:c>
      <x:c r="E8" s="17" t="inlineStr">
        <x:is>
          <x:t xml:space="preserve">{"required_experience":100000}</x:t>
        </x:is>
      </x:c>
      <x:c r="F8" s="17" t="inlineStr">
        <x:is>
          <x:t xml:space="preserve">candidate</x:t>
        </x:is>
      </x:c>
      <x:c r="G8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8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9" ht="15" hidden="0" customHeight="1">
      <x:c r="A9" s="19">
        <x:v>6</x:v>
      </x:c>
      <x:c r="B9" s="16">
        <x:v>1</x:v>
      </x:c>
      <x:c r="C9" s="16">
        <x:v>5</x:v>
      </x:c>
      <x:c r="D9" s="17" t="inlineStr">
        <x:is>
          <x:t xml:space="preserve">{"hp_bonus":100,"attack_min_bonus":5,"attack_max_bonus":5,"defence_min_bonus":10,"defence_max_bonus":10,"magic_defence_min_bonus":10,"magic_defence_max_bonus":10}</x:t>
        </x:is>
      </x:c>
      <x:c r="E9" s="17" t="inlineStr">
        <x:is>
          <x:t xml:space="preserve">{"required_experience":120000}</x:t>
        </x:is>
      </x:c>
      <x:c r="F9" s="17" t="inlineStr">
        <x:is>
          <x:t xml:space="preserve">candidate</x:t>
        </x:is>
      </x:c>
      <x:c r="G9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9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10" ht="15" hidden="0" customHeight="1">
      <x:c r="A10" s="19">
        <x:v>7</x:v>
      </x:c>
      <x:c r="B10" s="16">
        <x:v>1</x:v>
      </x:c>
      <x:c r="C10" s="16">
        <x:v>6</x:v>
      </x:c>
      <x:c r="D10" s="17" t="inlineStr">
        <x:is>
          <x:t xml:space="preserve">{"hp_bonus":120,"attack_min_bonus":6,"attack_max_bonus":6,"defence_min_bonus":12,"defence_max_bonus":12,"magic_defence_min_bonus":12,"magic_defence_max_bonus":12}</x:t>
        </x:is>
      </x:c>
      <x:c r="E10" s="17" t="inlineStr">
        <x:is>
          <x:t xml:space="preserve">{"required_experience":140000}</x:t>
        </x:is>
      </x:c>
      <x:c r="F10" s="17" t="inlineStr">
        <x:is>
          <x:t xml:space="preserve">candidate</x:t>
        </x:is>
      </x:c>
      <x:c r="G10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10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11" ht="15" hidden="0" customHeight="1">
      <x:c r="A11" s="19">
        <x:v>8</x:v>
      </x:c>
      <x:c r="B11" s="16">
        <x:v>1</x:v>
      </x:c>
      <x:c r="C11" s="16">
        <x:v>7</x:v>
      </x:c>
      <x:c r="D11" s="17" t="inlineStr">
        <x:is>
          <x:t xml:space="preserve">{"hp_bonus":140,"attack_min_bonus":7,"attack_max_bonus":7,"defence_min_bonus":14,"defence_max_bonus":14,"magic_defence_min_bonus":14,"magic_defence_max_bonus":14}</x:t>
        </x:is>
      </x:c>
      <x:c r="E11" s="17" t="inlineStr">
        <x:is>
          <x:t xml:space="preserve">{"required_experience":null}</x:t>
        </x:is>
      </x:c>
      <x:c r="F11" s="17" t="inlineStr">
        <x:is>
          <x:t xml:space="preserve">candidate</x:t>
        </x:is>
      </x:c>
      <x:c r="G11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11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  <x:row r="24" ht="26.399999618530273" hidden="0" customHeight="1">
      <x:c r="A24" s="19">
        <x:v>21</x:v>
      </x:c>
      <x:c r="B24" s="16">
        <x:v>21</x:v>
      </x:c>
      <x:c r="C24" s="16">
        <x:v>1100</x:v>
      </x:c>
      <x:c r="D24" s="17" t="inlineStr">
        <x:is>
          <x:t xml:space="preserve">development_candidate_only</x:t>
        </x:is>
      </x:c>
      <x:c r="E24" s="17" t="inlineStr">
        <x:is>
          <x:t xml:space="preserve">myf_source_unbalanced</x:t>
        </x:is>
      </x:c>
      <x:c r="F24" s="17" t="inlineStr">
        <x:is>
          <x:t xml:space="preserve">candidate</x:t>
        </x:is>
      </x:c>
      <x:c r="G24" s="18" t="inlineStr">
        <x:is>
          <x:t xml:space="preserve">资料参考/myf/Mir200/Exps.ini:24；[Exp].Level21；独立副本SHA256=b3682dc6194a880790fdbc6e1e8846a784dfa40fda3432e763b40878efef2d01</x:t>
        </x:is>
      </x:c>
      <x:c r="H24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5" ht="26.399999618530273" hidden="0" customHeight="1">
      <x:c r="A25" s="19">
        <x:v>22</x:v>
      </x:c>
      <x:c r="B25" s="16">
        <x:v>22</x:v>
      </x:c>
      <x:c r="C25" s="16">
        <x:v>1200</x:v>
      </x:c>
      <x:c r="D25" s="17" t="inlineStr">
        <x:is>
          <x:t xml:space="preserve">development_candidate_only</x:t>
        </x:is>
      </x:c>
      <x:c r="E25" s="17" t="inlineStr">
        <x:is>
          <x:t xml:space="preserve">myf_source_unbalanced</x:t>
        </x:is>
      </x:c>
      <x:c r="F25" s="17" t="inlineStr">
        <x:is>
          <x:t xml:space="preserve">candidate</x:t>
        </x:is>
      </x:c>
      <x:c r="G25" s="18" t="inlineStr">
        <x:is>
          <x:t xml:space="preserve">资料参考/myf/Mir200/Exps.ini:25；[Exp].Level22；独立副本SHA256=b3682dc6194a880790fdbc6e1e8846a784dfa40fda3432e763b40878efef2d01</x:t>
        </x:is>
      </x:c>
      <x:c r="H25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6" ht="26.399999618530273" hidden="0" customHeight="1">
      <x:c r="A26" s="19">
        <x:v>23</x:v>
      </x:c>
      <x:c r="B26" s="16">
        <x:v>23</x:v>
      </x:c>
      <x:c r="C26" s="16">
        <x:v>1300</x:v>
      </x:c>
      <x:c r="D26" s="17" t="inlineStr">
        <x:is>
          <x:t xml:space="preserve">development_candidate_only</x:t>
        </x:is>
      </x:c>
      <x:c r="E26" s="17" t="inlineStr">
        <x:is>
          <x:t xml:space="preserve">myf_source_unbalanced</x:t>
        </x:is>
      </x:c>
      <x:c r="F26" s="17" t="inlineStr">
        <x:is>
          <x:t xml:space="preserve">candidate</x:t>
        </x:is>
      </x:c>
      <x:c r="G26" s="18" t="inlineStr">
        <x:is>
          <x:t xml:space="preserve">资料参考/myf/Mir200/Exps.ini:26；[Exp].Level23；独立副本SHA256=b3682dc6194a880790fdbc6e1e8846a784dfa40fda3432e763b40878efef2d01</x:t>
        </x:is>
      </x:c>
      <x:c r="H26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7" ht="26.399999618530273" hidden="0" customHeight="1">
      <x:c r="A27" s="19">
        <x:v>24</x:v>
      </x:c>
      <x:c r="B27" s="16">
        <x:v>24</x:v>
      </x:c>
      <x:c r="C27" s="16">
        <x:v>1400</x:v>
      </x:c>
      <x:c r="D27" s="17" t="inlineStr">
        <x:is>
          <x:t xml:space="preserve">development_candidate_only</x:t>
        </x:is>
      </x:c>
      <x:c r="E27" s="17" t="inlineStr">
        <x:is>
          <x:t xml:space="preserve">myf_source_unbalanced</x:t>
        </x:is>
      </x:c>
      <x:c r="F27" s="17" t="inlineStr">
        <x:is>
          <x:t xml:space="preserve">candidate</x:t>
        </x:is>
      </x:c>
      <x:c r="G27" s="18" t="inlineStr">
        <x:is>
          <x:t xml:space="preserve">资料参考/myf/Mir200/Exps.ini:27；[Exp].Level24；独立副本SHA256=b3682dc6194a880790fdbc6e1e8846a784dfa40fda3432e763b40878efef2d01</x:t>
        </x:is>
      </x:c>
      <x:c r="H27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8" ht="26.399999618530273" hidden="0" customHeight="1">
      <x:c r="A28" s="19">
        <x:v>25</x:v>
      </x:c>
      <x:c r="B28" s="16">
        <x:v>25</x:v>
      </x:c>
      <x:c r="C28" s="16">
        <x:v>1500</x:v>
      </x:c>
      <x:c r="D28" s="17" t="inlineStr">
        <x:is>
          <x:t xml:space="preserve">development_candidate_only</x:t>
        </x:is>
      </x:c>
      <x:c r="E28" s="17" t="inlineStr">
        <x:is>
          <x:t xml:space="preserve">myf_source_unbalanced</x:t>
        </x:is>
      </x:c>
      <x:c r="F28" s="17" t="inlineStr">
        <x:is>
          <x:t xml:space="preserve">candidate</x:t>
        </x:is>
      </x:c>
      <x:c r="G28" s="18" t="inlineStr">
        <x:is>
          <x:t xml:space="preserve">资料参考/myf/Mir200/Exps.ini:28；[Exp].Level25；独立副本SHA256=b3682dc6194a880790fdbc6e1e8846a784dfa40fda3432e763b40878efef2d01</x:t>
        </x:is>
      </x:c>
      <x:c r="H28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9" ht="26.399999618530273" hidden="0" customHeight="1">
      <x:c r="A29" s="19">
        <x:v>26</x:v>
      </x:c>
      <x:c r="B29" s="16">
        <x:v>26</x:v>
      </x:c>
      <x:c r="C29" s="16">
        <x:v>20000</x:v>
      </x:c>
      <x:c r="D29" s="17" t="inlineStr">
        <x:is>
          <x:t xml:space="preserve">development_candidate_only</x:t>
        </x:is>
      </x:c>
      <x:c r="E29" s="17" t="inlineStr">
        <x:is>
          <x:t xml:space="preserve">myf_source_unbalanced</x:t>
        </x:is>
      </x:c>
      <x:c r="F29" s="17" t="inlineStr">
        <x:is>
          <x:t xml:space="preserve">candidate</x:t>
        </x:is>
      </x:c>
      <x:c r="G29" s="18" t="inlineStr">
        <x:is>
          <x:t xml:space="preserve">资料参考/myf/Mir200/Exps.ini:29；[Exp].Level26；独立副本SHA256=b3682dc6194a880790fdbc6e1e8846a784dfa40fda3432e763b40878efef2d01</x:t>
        </x:is>
      </x:c>
      <x:c r="H29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0" ht="26.399999618530273" hidden="0" customHeight="1">
      <x:c r="A30" s="19">
        <x:v>27</x:v>
      </x:c>
      <x:c r="B30" s="16">
        <x:v>27</x:v>
      </x:c>
      <x:c r="C30" s="16">
        <x:v>20000</x:v>
      </x:c>
      <x:c r="D30" s="17" t="inlineStr">
        <x:is>
          <x:t xml:space="preserve">development_candidate_only</x:t>
        </x:is>
      </x:c>
      <x:c r="E30" s="17" t="inlineStr">
        <x:is>
          <x:t xml:space="preserve">myf_source_unbalanced</x:t>
        </x:is>
      </x:c>
      <x:c r="F30" s="17" t="inlineStr">
        <x:is>
          <x:t xml:space="preserve">candidate</x:t>
        </x:is>
      </x:c>
      <x:c r="G30" s="18" t="inlineStr">
        <x:is>
          <x:t xml:space="preserve">资料参考/myf/Mir200/Exps.ini:30；[Exp].Level27；独立副本SHA256=b3682dc6194a880790fdbc6e1e8846a784dfa40fda3432e763b40878efef2d01</x:t>
        </x:is>
      </x:c>
      <x:c r="H30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1" ht="26.399999618530273" hidden="0" customHeight="1">
      <x:c r="A31" s="19">
        <x:v>28</x:v>
      </x:c>
      <x:c r="B31" s="16">
        <x:v>28</x:v>
      </x:c>
      <x:c r="C31" s="16">
        <x:v>20000</x:v>
      </x:c>
      <x:c r="D31" s="17" t="inlineStr">
        <x:is>
          <x:t xml:space="preserve">development_candidate_only</x:t>
        </x:is>
      </x:c>
      <x:c r="E31" s="17" t="inlineStr">
        <x:is>
          <x:t xml:space="preserve">myf_source_unbalanced</x:t>
        </x:is>
      </x:c>
      <x:c r="F31" s="17" t="inlineStr">
        <x:is>
          <x:t xml:space="preserve">candidate</x:t>
        </x:is>
      </x:c>
      <x:c r="G31" s="18" t="inlineStr">
        <x:is>
          <x:t xml:space="preserve">资料参考/myf/Mir200/Exps.ini:31；[Exp].Level28；独立副本SHA256=b3682dc6194a880790fdbc6e1e8846a784dfa40fda3432e763b40878efef2d01</x:t>
        </x:is>
      </x:c>
      <x:c r="H31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2" ht="26.399999618530273" hidden="0" customHeight="1">
      <x:c r="A32" s="19">
        <x:v>29</x:v>
      </x:c>
      <x:c r="B32" s="16">
        <x:v>29</x:v>
      </x:c>
      <x:c r="C32" s="16">
        <x:v>20000</x:v>
      </x:c>
      <x:c r="D32" s="17" t="inlineStr">
        <x:is>
          <x:t xml:space="preserve">development_candidate_only</x:t>
        </x:is>
      </x:c>
      <x:c r="E32" s="17" t="inlineStr">
        <x:is>
          <x:t xml:space="preserve">myf_source_unbalanced</x:t>
        </x:is>
      </x:c>
      <x:c r="F32" s="17" t="inlineStr">
        <x:is>
          <x:t xml:space="preserve">candidate</x:t>
        </x:is>
      </x:c>
      <x:c r="G32" s="18" t="inlineStr">
        <x:is>
          <x:t xml:space="preserve">资料参考/myf/Mir200/Exps.ini:32；[Exp].Level29；独立副本SHA256=b3682dc6194a880790fdbc6e1e8846a784dfa40fda3432e763b40878efef2d01</x:t>
        </x:is>
      </x:c>
      <x:c r="H32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3" ht="26.399999618530273" hidden="0" customHeight="1">
      <x:c r="A33" s="19">
        <x:v>30</x:v>
      </x:c>
      <x:c r="B33" s="16">
        <x:v>30</x:v>
      </x:c>
      <x:c r="C33" s="16">
        <x:v>20000</x:v>
      </x:c>
      <x:c r="D33" s="17" t="inlineStr">
        <x:is>
          <x:t xml:space="preserve">development_candidate_only</x:t>
        </x:is>
      </x:c>
      <x:c r="E33" s="17" t="inlineStr">
        <x:is>
          <x:t xml:space="preserve">myf_source_unbalanced</x:t>
        </x:is>
      </x:c>
      <x:c r="F33" s="17" t="inlineStr">
        <x:is>
          <x:t xml:space="preserve">candidate</x:t>
        </x:is>
      </x:c>
      <x:c r="G33" s="18" t="inlineStr">
        <x:is>
          <x:t xml:space="preserve">资料参考/myf/Mir200/Exps.ini:33；[Exp].Level30；独立副本SHA256=b3682dc6194a880790fdbc6e1e8846a784dfa40fda3432e763b40878efef2d01</x:t>
        </x:is>
      </x:c>
      <x:c r="H33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4" ht="26.399999618530273" hidden="0" customHeight="1">
      <x:c r="A34" s="19">
        <x:v>31</x:v>
      </x:c>
      <x:c r="B34" s="16">
        <x:v>31</x:v>
      </x:c>
      <x:c r="C34" s="16">
        <x:v>30000</x:v>
      </x:c>
      <x:c r="D34" s="17" t="inlineStr">
        <x:is>
          <x:t xml:space="preserve">development_candidate_only</x:t>
        </x:is>
      </x:c>
      <x:c r="E34" s="17" t="inlineStr">
        <x:is>
          <x:t xml:space="preserve">myf_source_unbalanced</x:t>
        </x:is>
      </x:c>
      <x:c r="F34" s="17" t="inlineStr">
        <x:is>
          <x:t xml:space="preserve">candidate</x:t>
        </x:is>
      </x:c>
      <x:c r="G34" s="18" t="inlineStr">
        <x:is>
          <x:t xml:space="preserve">资料参考/myf/Mir200/Exps.ini:34；[Exp].Level31；独立副本SHA256=b3682dc6194a880790fdbc6e1e8846a784dfa40fda3432e763b40878efef2d01</x:t>
        </x:is>
      </x:c>
      <x:c r="H34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5" ht="26.399999618530273" hidden="0" customHeight="1">
      <x:c r="A35" s="19">
        <x:v>32</x:v>
      </x:c>
      <x:c r="B35" s="16">
        <x:v>32</x:v>
      </x:c>
      <x:c r="C35" s="16">
        <x:v>31000</x:v>
      </x:c>
      <x:c r="D35" s="17" t="inlineStr">
        <x:is>
          <x:t xml:space="preserve">development_candidate_only</x:t>
        </x:is>
      </x:c>
      <x:c r="E35" s="17" t="inlineStr">
        <x:is>
          <x:t xml:space="preserve">myf_source_unbalanced</x:t>
        </x:is>
      </x:c>
      <x:c r="F35" s="17" t="inlineStr">
        <x:is>
          <x:t xml:space="preserve">candidate</x:t>
        </x:is>
      </x:c>
      <x:c r="G35" s="18" t="inlineStr">
        <x:is>
          <x:t xml:space="preserve">资料参考/myf/Mir200/Exps.ini:35；[Exp].Level32；独立副本SHA256=b3682dc6194a880790fdbc6e1e8846a784dfa40fda3432e763b40878efef2d01</x:t>
        </x:is>
      </x:c>
      <x:c r="H35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6" ht="26.399999618530273" hidden="0" customHeight="1">
      <x:c r="A36" s="19">
        <x:v>33</x:v>
      </x:c>
      <x:c r="B36" s="16">
        <x:v>33</x:v>
      </x:c>
      <x:c r="C36" s="16">
        <x:v>32000</x:v>
      </x:c>
      <x:c r="D36" s="17" t="inlineStr">
        <x:is>
          <x:t xml:space="preserve">development_candidate_only</x:t>
        </x:is>
      </x:c>
      <x:c r="E36" s="17" t="inlineStr">
        <x:is>
          <x:t xml:space="preserve">myf_source_unbalanced</x:t>
        </x:is>
      </x:c>
      <x:c r="F36" s="17" t="inlineStr">
        <x:is>
          <x:t xml:space="preserve">candidate</x:t>
        </x:is>
      </x:c>
      <x:c r="G36" s="18" t="inlineStr">
        <x:is>
          <x:t xml:space="preserve">资料参考/myf/Mir200/Exps.ini:36；[Exp].Level33；独立副本SHA256=b3682dc6194a880790fdbc6e1e8846a784dfa40fda3432e763b40878efef2d01</x:t>
        </x:is>
      </x:c>
      <x:c r="H36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7" ht="26.399999618530273" hidden="0" customHeight="1">
      <x:c r="A37" s="19">
        <x:v>34</x:v>
      </x:c>
      <x:c r="B37" s="16">
        <x:v>34</x:v>
      </x:c>
      <x:c r="C37" s="16">
        <x:v>33000</x:v>
      </x:c>
      <x:c r="D37" s="17" t="inlineStr">
        <x:is>
          <x:t xml:space="preserve">development_candidate_only</x:t>
        </x:is>
      </x:c>
      <x:c r="E37" s="17" t="inlineStr">
        <x:is>
          <x:t xml:space="preserve">myf_source_unbalanced</x:t>
        </x:is>
      </x:c>
      <x:c r="F37" s="17" t="inlineStr">
        <x:is>
          <x:t xml:space="preserve">candidate</x:t>
        </x:is>
      </x:c>
      <x:c r="G37" s="18" t="inlineStr">
        <x:is>
          <x:t xml:space="preserve">资料参考/myf/Mir200/Exps.ini:37；[Exp].Level34；独立副本SHA256=b3682dc6194a880790fdbc6e1e8846a784dfa40fda3432e763b40878efef2d01</x:t>
        </x:is>
      </x:c>
      <x:c r="H37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8" ht="26.399999618530273" hidden="0" customHeight="1">
      <x:c r="A38" s="19">
        <x:v>35</x:v>
      </x:c>
      <x:c r="B38" s="16">
        <x:v>35</x:v>
      </x:c>
      <x:c r="C38" s="16">
        <x:v>35000</x:v>
      </x:c>
      <x:c r="D38" s="17" t="inlineStr">
        <x:is>
          <x:t xml:space="preserve">development_candidate_only</x:t>
        </x:is>
      </x:c>
      <x:c r="E38" s="17" t="inlineStr">
        <x:is>
          <x:t xml:space="preserve">myf_source_unbalanced</x:t>
        </x:is>
      </x:c>
      <x:c r="F38" s="17" t="inlineStr">
        <x:is>
          <x:t xml:space="preserve">candidate</x:t>
        </x:is>
      </x:c>
      <x:c r="G38" s="18" t="inlineStr">
        <x:is>
          <x:t xml:space="preserve">资料参考/myf/Mir200/Exps.ini:38；[Exp].Level35；独立副本SHA256=b3682dc6194a880790fdbc6e1e8846a784dfa40fda3432e763b40878efef2d01</x:t>
        </x:is>
      </x:c>
      <x:c r="H38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9" ht="26.399999618530273" hidden="0" customHeight="1">
      <x:c r="A39" s="19">
        <x:v>36</x:v>
      </x:c>
      <x:c r="B39" s="16">
        <x:v>36</x:v>
      </x:c>
      <x:c r="C39" s="16">
        <x:v>80000</x:v>
      </x:c>
      <x:c r="D39" s="17" t="inlineStr">
        <x:is>
          <x:t xml:space="preserve">development_candidate_only</x:t>
        </x:is>
      </x:c>
      <x:c r="E39" s="17" t="inlineStr">
        <x:is>
          <x:t xml:space="preserve">myf_source_unbalanced</x:t>
        </x:is>
      </x:c>
      <x:c r="F39" s="17" t="inlineStr">
        <x:is>
          <x:t xml:space="preserve">candidate</x:t>
        </x:is>
      </x:c>
      <x:c r="G39" s="18" t="inlineStr">
        <x:is>
          <x:t xml:space="preserve">资料参考/myf/Mir200/Exps.ini:39；[Exp].Level36；独立副本SHA256=b3682dc6194a880790fdbc6e1e8846a784dfa40fda3432e763b40878efef2d01</x:t>
        </x:is>
      </x:c>
      <x:c r="H39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0" ht="26.399999618530273" hidden="0" customHeight="1">
      <x:c r="A40" s="19">
        <x:v>37</x:v>
      </x:c>
      <x:c r="B40" s="16">
        <x:v>37</x:v>
      </x:c>
      <x:c r="C40" s="16">
        <x:v>160000</x:v>
      </x:c>
      <x:c r="D40" s="17" t="inlineStr">
        <x:is>
          <x:t xml:space="preserve">development_candidate_only</x:t>
        </x:is>
      </x:c>
      <x:c r="E40" s="17" t="inlineStr">
        <x:is>
          <x:t xml:space="preserve">myf_source_unbalanced</x:t>
        </x:is>
      </x:c>
      <x:c r="F40" s="17" t="inlineStr">
        <x:is>
          <x:t xml:space="preserve">candidate</x:t>
        </x:is>
      </x:c>
      <x:c r="G40" s="18" t="inlineStr">
        <x:is>
          <x:t xml:space="preserve">资料参考/myf/Mir200/Exps.ini:40；[Exp].Level37；独立副本SHA256=b3682dc6194a880790fdbc6e1e8846a784dfa40fda3432e763b40878efef2d01</x:t>
        </x:is>
      </x:c>
      <x:c r="H40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1" ht="26.399999618530273" hidden="0" customHeight="1">
      <x:c r="A41" s="19">
        <x:v>38</x:v>
      </x:c>
      <x:c r="B41" s="16">
        <x:v>38</x:v>
      </x:c>
      <x:c r="C41" s="16">
        <x:v>350000</x:v>
      </x:c>
      <x:c r="D41" s="17" t="inlineStr">
        <x:is>
          <x:t xml:space="preserve">development_candidate_only</x:t>
        </x:is>
      </x:c>
      <x:c r="E41" s="17" t="inlineStr">
        <x:is>
          <x:t xml:space="preserve">myf_source_unbalanced</x:t>
        </x:is>
      </x:c>
      <x:c r="F41" s="17" t="inlineStr">
        <x:is>
          <x:t xml:space="preserve">candidate</x:t>
        </x:is>
      </x:c>
      <x:c r="G41" s="18" t="inlineStr">
        <x:is>
          <x:t xml:space="preserve">资料参考/myf/Mir200/Exps.ini:41；[Exp].Level38；独立副本SHA256=b3682dc6194a880790fdbc6e1e8846a784dfa40fda3432e763b40878efef2d01</x:t>
        </x:is>
      </x:c>
      <x:c r="H41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2" ht="26.399999618530273" hidden="0" customHeight="1">
      <x:c r="A42" s="19">
        <x:v>39</x:v>
      </x:c>
      <x:c r="B42" s="16">
        <x:v>39</x:v>
      </x:c>
      <x:c r="C42" s="16">
        <x:v>600000</x:v>
      </x:c>
      <x:c r="D42" s="17" t="inlineStr">
        <x:is>
          <x:t xml:space="preserve">development_candidate_only</x:t>
        </x:is>
      </x:c>
      <x:c r="E42" s="17" t="inlineStr">
        <x:is>
          <x:t xml:space="preserve">myf_source_unbalanced</x:t>
        </x:is>
      </x:c>
      <x:c r="F42" s="17" t="inlineStr">
        <x:is>
          <x:t xml:space="preserve">candidate</x:t>
        </x:is>
      </x:c>
      <x:c r="G42" s="18" t="inlineStr">
        <x:is>
          <x:t xml:space="preserve">资料参考/myf/Mir200/Exps.ini:42；[Exp].Level39；独立副本SHA256=b3682dc6194a880790fdbc6e1e8846a784dfa40fda3432e763b40878efef2d01</x:t>
        </x:is>
      </x:c>
      <x:c r="H42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3" ht="26.399999618530273" hidden="0" customHeight="1">
      <x:c r="A43" s="19">
        <x:v>40</x:v>
      </x:c>
      <x:c r="B43" s="16">
        <x:v>40</x:v>
      </x:c>
      <x:c r="C43" s="16">
        <x:v>900000</x:v>
      </x:c>
      <x:c r="D43" s="17" t="inlineStr">
        <x:is>
          <x:t xml:space="preserve">development_candidate_only</x:t>
        </x:is>
      </x:c>
      <x:c r="E43" s="17" t="inlineStr">
        <x:is>
          <x:t xml:space="preserve">myf_source_unbalanced</x:t>
        </x:is>
      </x:c>
      <x:c r="F43" s="17" t="inlineStr">
        <x:is>
          <x:t xml:space="preserve">candidate</x:t>
        </x:is>
      </x:c>
      <x:c r="G43" s="18" t="inlineStr">
        <x:is>
          <x:t xml:space="preserve">资料参考/myf/Mir200/Exps.ini:43；[Exp].Level40；独立副本SHA256=b3682dc6194a880790fdbc6e1e8846a784dfa40fda3432e763b40878efef2d01</x:t>
        </x:is>
      </x:c>
      <x:c r="H43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4" ht="26.399999618530273" hidden="0" customHeight="1">
      <x:c r="A44" s="19">
        <x:v>41</x:v>
      </x:c>
      <x:c r="B44" s="16">
        <x:v>41</x:v>
      </x:c>
      <x:c r="C44" s="16">
        <x:v>1200000</x:v>
      </x:c>
      <x:c r="D44" s="17" t="inlineStr">
        <x:is>
          <x:t xml:space="preserve">development_candidate_only</x:t>
        </x:is>
      </x:c>
      <x:c r="E44" s="17" t="inlineStr">
        <x:is>
          <x:t xml:space="preserve">myf_source_unbalanced</x:t>
        </x:is>
      </x:c>
      <x:c r="F44" s="17" t="inlineStr">
        <x:is>
          <x:t xml:space="preserve">candidate</x:t>
        </x:is>
      </x:c>
      <x:c r="G44" s="18" t="inlineStr">
        <x:is>
          <x:t xml:space="preserve">资料参考/myf/Mir200/Exps.ini:44；[Exp].Level41；独立副本SHA256=b3682dc6194a880790fdbc6e1e8846a784dfa40fda3432e763b40878efef2d01</x:t>
        </x:is>
      </x:c>
      <x:c r="H44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5" ht="26.399999618530273" hidden="0" customHeight="1">
      <x:c r="A45" s="19">
        <x:v>42</x:v>
      </x:c>
      <x:c r="B45" s="16">
        <x:v>42</x:v>
      </x:c>
      <x:c r="C45" s="16">
        <x:v>2400000</x:v>
      </x:c>
      <x:c r="D45" s="17" t="inlineStr">
        <x:is>
          <x:t xml:space="preserve">development_candidate_only</x:t>
        </x:is>
      </x:c>
      <x:c r="E45" s="17" t="inlineStr">
        <x:is>
          <x:t xml:space="preserve">myf_source_unbalanced</x:t>
        </x:is>
      </x:c>
      <x:c r="F45" s="17" t="inlineStr">
        <x:is>
          <x:t xml:space="preserve">candidate</x:t>
        </x:is>
      </x:c>
      <x:c r="G45" s="18" t="inlineStr">
        <x:is>
          <x:t xml:space="preserve">资料参考/myf/Mir200/Exps.ini:45；[Exp].Level42；独立副本SHA256=b3682dc6194a880790fdbc6e1e8846a784dfa40fda3432e763b40878efef2d01</x:t>
        </x:is>
      </x:c>
      <x:c r="H45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6" ht="26.399999618530273" hidden="0" customHeight="1">
      <x:c r="A46" s="19">
        <x:v>43</x:v>
      </x:c>
      <x:c r="B46" s="16">
        <x:v>43</x:v>
      </x:c>
      <x:c r="C46" s="16">
        <x:v>3600000</x:v>
      </x:c>
      <x:c r="D46" s="17" t="inlineStr">
        <x:is>
          <x:t xml:space="preserve">development_candidate_only</x:t>
        </x:is>
      </x:c>
      <x:c r="E46" s="17" t="inlineStr">
        <x:is>
          <x:t xml:space="preserve">myf_source_unbalanced</x:t>
        </x:is>
      </x:c>
      <x:c r="F46" s="17" t="inlineStr">
        <x:is>
          <x:t xml:space="preserve">candidate</x:t>
        </x:is>
      </x:c>
      <x:c r="G46" s="18" t="inlineStr">
        <x:is>
          <x:t xml:space="preserve">资料参考/myf/Mir200/Exps.ini:46；[Exp].Level43；独立副本SHA256=b3682dc6194a880790fdbc6e1e8846a784dfa40fda3432e763b40878efef2d01</x:t>
        </x:is>
      </x:c>
      <x:c r="H46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7" ht="26.399999618530273" hidden="0" customHeight="1">
      <x:c r="A47" s="19">
        <x:v>44</x:v>
      </x:c>
      <x:c r="B47" s="16">
        <x:v>44</x:v>
      </x:c>
      <x:c r="C47" s="16">
        <x:v>7200000</x:v>
      </x:c>
      <x:c r="D47" s="17" t="inlineStr">
        <x:is>
          <x:t xml:space="preserve">development_candidate_only</x:t>
        </x:is>
      </x:c>
      <x:c r="E47" s="17" t="inlineStr">
        <x:is>
          <x:t xml:space="preserve">myf_source_unbalanced</x:t>
        </x:is>
      </x:c>
      <x:c r="F47" s="17" t="inlineStr">
        <x:is>
          <x:t xml:space="preserve">candidate</x:t>
        </x:is>
      </x:c>
      <x:c r="G47" s="18" t="inlineStr">
        <x:is>
          <x:t xml:space="preserve">资料参考/myf/Mir200/Exps.ini:47；[Exp].Level44；独立副本SHA256=b3682dc6194a880790fdbc6e1e8846a784dfa40fda3432e763b40878efef2d01</x:t>
        </x:is>
      </x:c>
      <x:c r="H47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8" ht="26.399999618530273" hidden="0" customHeight="1">
      <x:c r="A48" s="19">
        <x:v>45</x:v>
      </x:c>
      <x:c r="B48" s="16">
        <x:v>45</x:v>
      </x:c>
      <x:c r="C48" s="16">
        <x:v>12000000</x:v>
      </x:c>
      <x:c r="D48" s="17" t="inlineStr">
        <x:is>
          <x:t xml:space="preserve">development_candidate_only</x:t>
        </x:is>
      </x:c>
      <x:c r="E48" s="17" t="inlineStr">
        <x:is>
          <x:t xml:space="preserve">myf_source_unbalanced</x:t>
        </x:is>
      </x:c>
      <x:c r="F48" s="17" t="inlineStr">
        <x:is>
          <x:t xml:space="preserve">candidate</x:t>
        </x:is>
      </x:c>
      <x:c r="G48" s="18" t="inlineStr">
        <x:is>
          <x:t xml:space="preserve">资料参考/myf/Mir200/Exps.ini:48；[Exp].Level45；独立副本SHA256=b3682dc6194a880790fdbc6e1e8846a784dfa40fda3432e763b40878efef2d01</x:t>
        </x:is>
      </x:c>
      <x:c r="H48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9" ht="26.399999618530273" hidden="0" customHeight="1">
      <x:c r="A49" s="19">
        <x:v>46</x:v>
      </x:c>
      <x:c r="B49" s="16">
        <x:v>46</x:v>
      </x:c>
      <x:c r="C49" s="16">
        <x:v>24000000</x:v>
      </x:c>
      <x:c r="D49" s="17" t="inlineStr">
        <x:is>
          <x:t xml:space="preserve">development_candidate_only</x:t>
        </x:is>
      </x:c>
      <x:c r="E49" s="17" t="inlineStr">
        <x:is>
          <x:t xml:space="preserve">myf_source_unbalanced</x:t>
        </x:is>
      </x:c>
      <x:c r="F49" s="17" t="inlineStr">
        <x:is>
          <x:t xml:space="preserve">candidate</x:t>
        </x:is>
      </x:c>
      <x:c r="G49" s="18" t="inlineStr">
        <x:is>
          <x:t xml:space="preserve">资料参考/myf/Mir200/Exps.ini:49；[Exp].Level46；独立副本SHA256=b3682dc6194a880790fdbc6e1e8846a784dfa40fda3432e763b40878efef2d01</x:t>
        </x:is>
      </x:c>
      <x:c r="H49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0" ht="26.399999618530273" hidden="0" customHeight="1">
      <x:c r="A50" s="19">
        <x:v>47</x:v>
      </x:c>
      <x:c r="B50" s="16">
        <x:v>47</x:v>
      </x:c>
      <x:c r="C50" s="16">
        <x:v>38000000</x:v>
      </x:c>
      <x:c r="D50" s="17" t="inlineStr">
        <x:is>
          <x:t xml:space="preserve">development_candidate_only</x:t>
        </x:is>
      </x:c>
      <x:c r="E50" s="17" t="inlineStr">
        <x:is>
          <x:t xml:space="preserve">myf_source_unbalanced</x:t>
        </x:is>
      </x:c>
      <x:c r="F50" s="17" t="inlineStr">
        <x:is>
          <x:t xml:space="preserve">candidate</x:t>
        </x:is>
      </x:c>
      <x:c r="G50" s="18" t="inlineStr">
        <x:is>
          <x:t xml:space="preserve">资料参考/myf/Mir200/Exps.ini:50；[Exp].Level47；独立副本SHA256=b3682dc6194a880790fdbc6e1e8846a784dfa40fda3432e763b40878efef2d01</x:t>
        </x:is>
      </x:c>
      <x:c r="H50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1" ht="26.399999618530273" hidden="0" customHeight="1">
      <x:c r="A51" s="19">
        <x:v>48</x:v>
      </x:c>
      <x:c r="B51" s="16">
        <x:v>48</x:v>
      </x:c>
      <x:c r="C51" s="16">
        <x:v>52000000</x:v>
      </x:c>
      <x:c r="D51" s="17" t="inlineStr">
        <x:is>
          <x:t xml:space="preserve">development_candidate_only</x:t>
        </x:is>
      </x:c>
      <x:c r="E51" s="17" t="inlineStr">
        <x:is>
          <x:t xml:space="preserve">myf_source_unbalanced</x:t>
        </x:is>
      </x:c>
      <x:c r="F51" s="17" t="inlineStr">
        <x:is>
          <x:t xml:space="preserve">candidate</x:t>
        </x:is>
      </x:c>
      <x:c r="G51" s="18" t="inlineStr">
        <x:is>
          <x:t xml:space="preserve">资料参考/myf/Mir200/Exps.ini:51；[Exp].Level48；独立副本SHA256=b3682dc6194a880790fdbc6e1e8846a784dfa40fda3432e763b40878efef2d01</x:t>
        </x:is>
      </x:c>
      <x:c r="H51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2" ht="26.399999618530273" hidden="0" customHeight="1">
      <x:c r="A52" s="19">
        <x:v>49</x:v>
      </x:c>
      <x:c r="B52" s="16">
        <x:v>49</x:v>
      </x:c>
      <x:c r="C52" s="16">
        <x:v>63000000</x:v>
      </x:c>
      <x:c r="D52" s="17" t="inlineStr">
        <x:is>
          <x:t xml:space="preserve">development_candidate_only</x:t>
        </x:is>
      </x:c>
      <x:c r="E52" s="17" t="inlineStr">
        <x:is>
          <x:t xml:space="preserve">myf_source_unbalanced</x:t>
        </x:is>
      </x:c>
      <x:c r="F52" s="17" t="inlineStr">
        <x:is>
          <x:t xml:space="preserve">candidate</x:t>
        </x:is>
      </x:c>
      <x:c r="G52" s="18" t="inlineStr">
        <x:is>
          <x:t xml:space="preserve">资料参考/myf/Mir200/Exps.ini:52；[Exp].Level49；独立副本SHA256=b3682dc6194a880790fdbc6e1e8846a784dfa40fda3432e763b40878efef2d01</x:t>
        </x:is>
      </x:c>
      <x:c r="H52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3" ht="26.399999618530273" hidden="0" customHeight="1">
      <x:c r="A53" s="19">
        <x:v>50</x:v>
      </x:c>
      <x:c r="B53" s="16">
        <x:v>50</x:v>
      </x:c>
      <x:c r="C53" s="16">
        <x:v>75000000</x:v>
      </x:c>
      <x:c r="D53" s="17" t="inlineStr">
        <x:is>
          <x:t xml:space="preserve">development_candidate_only</x:t>
        </x:is>
      </x:c>
      <x:c r="E53" s="17" t="inlineStr">
        <x:is>
          <x:t xml:space="preserve">myf_source_unbalanced</x:t>
        </x:is>
      </x:c>
      <x:c r="F53" s="17" t="inlineStr">
        <x:is>
          <x:t xml:space="preserve">candidate</x:t>
        </x:is>
      </x:c>
      <x:c r="G53" s="18" t="inlineStr">
        <x:is>
          <x:t xml:space="preserve">资料参考/myf/Mir200/Exps.ini:53；[Exp].Level50；独立副本SHA256=b3682dc6194a880790fdbc6e1e8846a784dfa40fda3432e763b40878efef2d01</x:t>
        </x:is>
      </x:c>
      <x:c r="H53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inlineStr">
        <x:is>
          <x:t xml:space="preserve">{"rule_version":20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,"can_push":true}],"inventory_capacity":32,"initial_inventory":[218,218,193,35,36],"initial_bound_gold":0,"allow_free_dev_revive":true,"damage_formula":"development_source_combat","recycle_test_gold_by_item":{"35":0,"36":0,"193":400,"218":50},"technical_parameters_notice":"rule15仅开发来源瞬移：200ms延迟、完整绑定图随机、MP10+rank×3及Flux候选由对应唯一基础表维护。承接原streaming/旅行/导航受控参数；不改变事务/租约时限，不持久坐标/MP/CD/临时世界，不作容量或完整目标1.80认证。；rule16同owner保留身体/尸体有界；独立训练定义来自PetDefs/Growth，原免费bootstrap不训练，17与护符仍关闭，不认证容量。；rule17显式NoPets/RecallName与关闭的召唤独立候选，主仍22技能、legacy不训练、材料关闭；不认证17/购符业务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[1,2,3,4,5,11,23,29,7,12,25,26,10,33,24,9,14,15,31,8,27,21]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,{"offer_id":22,"item_id":28,"required_role_level":1,"max_purchase_quantity":32},{"offer_id":23,"item_id":29,"required_role_level":1,"max_purchase_quantity":32},{"offer_id":24,"item_id":18,"required_role_level":1,"max_purchase_quantity":32},{"offer_id":25,"item_id":8,"required_role_level":1,"max_purchase_quantity":32},{"offer_id":26,"item_id":5,"required_role_level":1,"max_purchase_quantity":32},{"offer_id":27,"item_id":13,"required_role_level":1,"max_purchase_quantity":32}],"recyclable_book_ids":[7,21,1,22,12,11,14,32,2,3,4,6,16,20,17,10,28,29,18,8,5,13]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,"player_push_action_ms":500,"monster_push_action_ms_per_step":300,"monster_push_move_ms_per_step":500,"pushed_step_display_ms":300},"pet_spawn":{"x":8,"y":7},"casting_supply":{"enabled":false,"slot":100,"item_ids":[187]},"map_catalog_ids":[2],"binding":{"enabled":false,"start_points":[],"safe_zone_enabled":true},"source_map_streaming":{"load_concurrency":4,"cache_capacity":49},"town_travel":{"enabled":true,"town_map_id":2,"plan_ttl_ms":120000,"quiesce_ttl_ms":10000,"ack_ttl_ms":120000,"max_plans_per_scene":256},"town_navigation":{"enabled":true,"work_per_task":1024,"work_per_worker_tick":8192,"workspaces_per_worker":1,"queue_per_worker":64,"max_expanded":490000,"max_frontier":65536,"max_route_cells":4096,"max_replans":3,"max_dynamic_cells":2,"max_memory_bytes_per_worker":33554432},"pet_runtime":{"enabled":true,"bootstrap_mode":"legacy_untrained_pet","definition_ids":[1]},"equipment_recycling":{"mode":"development_gold_only","outputs":[]},"progression":{"curve_version":"myf_exp_candidate_1_50_v1","operating_level_cap":50,"catalog_max_level":50,"pending_pool_policy":"one_next_level","new_overflow_policy":"reject_new_with_receipt","legacy_overflow_policy":"preserve_frozen","level_up_resources":"source_full_if_alive_original_birth","rebirth_enabled":false}}</x:t>
        </x:is>
      </x:c>
      <x:c r="D4" s="17" t="str">
        <x:v>candidate</x:v>
      </x:c>
      <x:c r="E4" s="18" t="inlineStr">
        <x:is>
          <x:t xml:space="preserve">rule15源码开发候选；Crystal Server/MirEnvir/Envir.cs:654–656、MirDatabase/MagicInfo.cs:18,219–221、MirObjects/HumanObject.cs:186,3375–3397,3424–3451,3537–3540,6096–6107、MirObjects/PlayerObject.cs:4633–4647；非目标1.80完整认证；既有首循环、状态、绑定及城镇来源继续按各基础表来源；本任务rule15原World执行与连接scene解耦技术开发候选；本任务rule16宠物驻留/身体/训练候选，数值由PetDefs/Growth及架构预算共同维护；rule17地图宠物政策与独立召唤候选，同源参数不激活主技能</x:t>
        </x:is>
      </x:c>
      <x:c r="F4" s="18" t="inlineStr">
        <x:is>
          <x:t xml:space="preserve">rule15选入21及正常购书/原书升级候选，初始仅赠原三职业一本，不随新增技能增加赠书。随机新生池仍关闭；只有已核证明资格可施放21。 rule16仅旧免费bootstrap的原对象死亡/尸体生命周期，正常17材料召唤仍待用户护符单位决定；不新增初始书。 rule17主profile不追加技能17/书25/商店/升级/初始赠书；护符187未知值保持。独立catalog含完整三阶候选，不绕过校验。</x:t>
        </x:is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