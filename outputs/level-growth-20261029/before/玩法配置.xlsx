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d55d64440c44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目录" sheetId="1" r:id="R29979a24eadd476d"/>
    <x:sheet xmlns:r="http://schemas.openxmlformats.org/officeDocument/2006/relationships" name="四货币" sheetId="2" r:id="Rd15872cfa37546d9"/>
    <x:sheet xmlns:r="http://schemas.openxmlformats.org/officeDocument/2006/relationships" name="职业与固定形象" sheetId="3" r:id="Rd8e7ade54edd4841"/>
    <x:sheet xmlns:r="http://schemas.openxmlformats.org/officeDocument/2006/relationships" name="装备部位" sheetId="4" r:id="R65b1787e927e45ec"/>
    <x:sheet xmlns:r="http://schemas.openxmlformats.org/officeDocument/2006/relationships" name="品质与词条槽" sheetId="5" r:id="R89b5ae0cb12c4dac"/>
    <x:sheet xmlns:r="http://schemas.openxmlformats.org/officeDocument/2006/relationships" name="装备阶段" sheetId="6" r:id="R2d626453d6b4421d"/>
    <x:sheet xmlns:r="http://schemas.openxmlformats.org/officeDocument/2006/relationships" name="产品范围与基础约束" sheetId="7" r:id="R8b5434a04bac4550"/>
    <x:sheet xmlns:r="http://schemas.openxmlformats.org/officeDocument/2006/relationships" name="角色与仓库规则" sheetId="8" r:id="Ra31798710f024c98"/>
    <x:sheet xmlns:r="http://schemas.openxmlformats.org/officeDocument/2006/relationships" name="绑定判定事件" sheetId="9" r:id="R6f8012785c4b4a42"/>
    <x:sheet xmlns:r="http://schemas.openxmlformats.org/officeDocument/2006/relationships" name="绑定资源授权" sheetId="10" r:id="R1876eab79a524cb8"/>
    <x:sheet xmlns:r="http://schemas.openxmlformats.org/officeDocument/2006/relationships" name="双卡产品" sheetId="11" r:id="Rd295305fa2f84033"/>
    <x:sheet xmlns:r="http://schemas.openxmlformats.org/officeDocument/2006/relationships" name="双卡与托管权益" sheetId="12" r:id="R68d0332e34694561"/>
    <x:sheet xmlns:r="http://schemas.openxmlformats.org/officeDocument/2006/relationships" name="道具竞购规则" sheetId="13" r:id="R14bc423b2709443a"/>
    <x:sheet xmlns:r="http://schemas.openxmlformats.org/officeDocument/2006/relationships" name="金币撮合规则" sheetId="14" r:id="Rf38757f92719422a"/>
    <x:sheet xmlns:r="http://schemas.openxmlformats.org/officeDocument/2006/relationships" name="普通掉落互斥分类" sheetId="15" r:id="R1795e7453cc040d7"/>
    <x:sheet xmlns:r="http://schemas.openxmlformats.org/officeDocument/2006/relationships" name="保底与掉落限额规则" sheetId="16" r:id="Rf34caad4842c4b5e"/>
    <x:sheet xmlns:r="http://schemas.openxmlformats.org/officeDocument/2006/relationships" name="洗炼16词条池" sheetId="17" r:id="Rfb40a19a6fa9448a"/>
    <x:sheet xmlns:r="http://schemas.openxmlformats.org/officeDocument/2006/relationships" name="洗炼品质消耗" sheetId="18" r:id="R3bfba8ab6b10471a"/>
    <x:sheet xmlns:r="http://schemas.openxmlformats.org/officeDocument/2006/relationships" name="洗炼五档" sheetId="19" r:id="R204e3b064a3d4fd1"/>
    <x:sheet xmlns:r="http://schemas.openxmlformats.org/officeDocument/2006/relationships" name="洗炼锁槽费用" sheetId="20" r:id="R7d8c4d13ef9d4b54"/>
    <x:sheet xmlns:r="http://schemas.openxmlformats.org/officeDocument/2006/relationships" name="部位强化逐级候选" sheetId="21" r:id="Rf48f18d8be244075"/>
    <x:sheet xmlns:r="http://schemas.openxmlformats.org/officeDocument/2006/relationships" name="炼体七系候选" sheetId="22" r:id="R874d960fc63345e3"/>
    <x:sheet xmlns:r="http://schemas.openxmlformats.org/officeDocument/2006/relationships" name="炼体逐级概率" sheetId="23" r:id="Rb1abe7add6a74402"/>
    <x:sheet xmlns:r="http://schemas.openxmlformats.org/officeDocument/2006/relationships" name="初始幸运生成" sheetId="24" r:id="Rad50d1a01ae5465f"/>
    <x:sheet xmlns:r="http://schemas.openxmlformats.org/officeDocument/2006/relationships" name="用油逐级规则" sheetId="25" r:id="Red5f9b7c588840f6"/>
    <x:sheet xmlns:r="http://schemas.openxmlformats.org/officeDocument/2006/relationships" name="幸运一击贡献" sheetId="26" r:id="Rf4f5e47a06a447fd"/>
    <x:sheet xmlns:r="http://schemas.openxmlformats.org/officeDocument/2006/relationships" name="幸运11贡献位" sheetId="27" r:id="R9aaceb2371304631"/>
    <x:sheet xmlns:r="http://schemas.openxmlformats.org/officeDocument/2006/relationships" name="幸运结算与分解规则" sheetId="28" r:id="R81cb4e0b92ca4350"/>
    <x:sheet xmlns:r="http://schemas.openxmlformats.org/officeDocument/2006/relationships" name="矿种候选" sheetId="29" r:id="R6b689c1ee7194023"/>
    <x:sheet xmlns:r="http://schemas.openxmlformats.org/officeDocument/2006/relationships" name="矿区楼层候选" sheetId="30" r:id="Rb78b7061d87148cb"/>
    <x:sheet xmlns:r="http://schemas.openxmlformats.org/officeDocument/2006/relationships" name="矿石纯度档" sheetId="31" r:id="Rbc97a8ff928b4e93"/>
    <x:sheet xmlns:r="http://schemas.openxmlformats.org/officeDocument/2006/relationships" name="挖矿打造修理规则" sheetId="32" r:id="R040deac1ca3d4645"/>
    <x:sheet xmlns:r="http://schemas.openxmlformats.org/officeDocument/2006/relationships" name="等级档费用候选" sheetId="33" r:id="R4370743c75b54b30"/>
    <x:sheet xmlns:r="http://schemas.openxmlformats.org/officeDocument/2006/relationships" name="技能书分解候选" sheetId="34" r:id="Rc2ff6ad51d5f4540"/>
    <x:sheet xmlns:r="http://schemas.openxmlformats.org/officeDocument/2006/relationships" name="商城商品候选" sheetId="35" r:id="Re38e6c31797a4009"/>
    <x:sheet xmlns:r="http://schemas.openxmlformats.org/officeDocument/2006/relationships" name="挑战与副本规则" sheetId="36" r:id="R1e9a3657d3764ea6"/>
    <x:sheet xmlns:r="http://schemas.openxmlformats.org/officeDocument/2006/relationships" name="副本等级入口" sheetId="37" r:id="R7138dc2fc1714444"/>
    <x:sheet xmlns:r="http://schemas.openxmlformats.org/officeDocument/2006/relationships" name="镜像竞技规则" sheetId="38" r:id="R4736534700924f98"/>
    <x:sheet xmlns:r="http://schemas.openxmlformats.org/officeDocument/2006/relationships" name="竞技连胜积分" sheetId="39" r:id="R98dbfe4fe44248c8"/>
    <x:sheet xmlns:r="http://schemas.openxmlformats.org/officeDocument/2006/relationships" name="等级转生与任务规则" sheetId="40" r:id="R5c7661a3b9074e5c"/>
    <x:sheet xmlns:r="http://schemas.openxmlformats.org/officeDocument/2006/relationships" name="魂兽名录" sheetId="41" r:id="R65079e9903404cc8"/>
    <x:sheet xmlns:r="http://schemas.openxmlformats.org/officeDocument/2006/relationships" name="魂兽三池词条" sheetId="42" r:id="R22bf7dee501441a2"/>
    <x:sheet xmlns:r="http://schemas.openxmlformats.org/officeDocument/2006/relationships" name="魂兽勋章翅膀规则" sheetId="43" r:id="R6eddd4d6a0404829"/>
    <x:sheet xmlns:r="http://schemas.openxmlformats.org/officeDocument/2006/relationships" name="翅膀逐阶待定" sheetId="44" r:id="R7be18f66c44b49e6"/>
    <x:sheet xmlns:r="http://schemas.openxmlformats.org/officeDocument/2006/relationships" name="战令档位候选" sheetId="45" r:id="R09aa52083b2241d1"/>
    <x:sheet xmlns:r="http://schemas.openxmlformats.org/officeDocument/2006/relationships" name="战令奖励候选" sheetId="46" r:id="R0a42f2ab3e6f480d"/>
    <x:sheet xmlns:r="http://schemas.openxmlformats.org/officeDocument/2006/relationships" name="首充与广告候选" sheetId="47" r:id="Rc53f531a853641b5"/>
    <x:sheet xmlns:r="http://schemas.openxmlformats.org/officeDocument/2006/relationships" name="全来源预算候选" sheetId="48" r:id="Rc6db772d2bc44c17"/>
    <x:sheet xmlns:r="http://schemas.openxmlformats.org/officeDocument/2006/relationships" name="客户端显示与操作" sheetId="49" r:id="R324412749a9a4639"/>
    <x:sheet xmlns:r="http://schemas.openxmlformats.org/officeDocument/2006/relationships" name="职业基础与成长" sheetId="50" r:id="R7a235b2f13104779"/>
    <x:sheet xmlns:r="http://schemas.openxmlformats.org/officeDocument/2006/relationships" name="物品定义" sheetId="51" r:id="R1d19599022394158"/>
    <x:sheet xmlns:r="http://schemas.openxmlformats.org/officeDocument/2006/relationships" name="装备定义" sheetId="52" r:id="Rbc09aedc5e884043"/>
    <x:sheet xmlns:r="http://schemas.openxmlformats.org/officeDocument/2006/relationships" name="装备外观映射" sheetId="53" r:id="Rf361fdf839b74a79"/>
    <x:sheet xmlns:r="http://schemas.openxmlformats.org/officeDocument/2006/relationships" name="怪物定义" sheetId="54" r:id="Rcb585e94884641ca"/>
    <x:sheet xmlns:r="http://schemas.openxmlformats.org/officeDocument/2006/relationships" name="地图定义" sheetId="55" r:id="R9f5fa1315aa24ac6"/>
    <x:sheet xmlns:r="http://schemas.openxmlformats.org/officeDocument/2006/relationships" name="地图碰撞" sheetId="56" r:id="Rd14a63abb3b64fc9"/>
    <x:sheet xmlns:r="http://schemas.openxmlformats.org/officeDocument/2006/relationships" name="地图区域与NPC" sheetId="57" r:id="R5d318beb6be04f9a"/>
    <x:sheet xmlns:r="http://schemas.openxmlformats.org/officeDocument/2006/relationships" name="刷怪生成点" sheetId="58" r:id="Rf8b528d8519a4450"/>
    <x:sheet xmlns:r="http://schemas.openxmlformats.org/officeDocument/2006/relationships" name="NPC功能" sheetId="59" r:id="Raef31f0d46b248e2"/>
    <x:sheet xmlns:r="http://schemas.openxmlformats.org/officeDocument/2006/relationships" name="技能基础定义" sheetId="60" r:id="Rbf35baac298947d3"/>
    <x:sheet xmlns:r="http://schemas.openxmlformats.org/officeDocument/2006/relationships" name="技能逐级扩展" sheetId="61" r:id="R4355447172514317"/>
    <x:sheet xmlns:r="http://schemas.openxmlformats.org/officeDocument/2006/relationships" name="技能范围格模板" sheetId="62" r:id="R2dca357a6a2048cc"/>
    <x:sheet xmlns:r="http://schemas.openxmlformats.org/officeDocument/2006/relationships" name="Buff定义" sheetId="63" r:id="Rcc19327d36744b3e"/>
    <x:sheet xmlns:r="http://schemas.openxmlformats.org/officeDocument/2006/relationships" name="效果列表" sheetId="64" r:id="R2b7a6ceb73ad4ddf"/>
    <x:sheet xmlns:r="http://schemas.openxmlformats.org/officeDocument/2006/relationships" name="职业宠物模板" sheetId="65" r:id="R030cb3341b344cab"/>
    <x:sheet xmlns:r="http://schemas.openxmlformats.org/officeDocument/2006/relationships" name="宠物成长" sheetId="66" r:id="R915e42bcd0d04201"/>
    <x:sheet xmlns:r="http://schemas.openxmlformats.org/officeDocument/2006/relationships" name="逐级经验" sheetId="67" r:id="Rf0e24eb2ac144d72"/>
    <x:sheet xmlns:r="http://schemas.openxmlformats.org/officeDocument/2006/relationships" name="转生条件" sheetId="68" r:id="R852b8d9d8fa34d5c"/>
    <x:sheet xmlns:r="http://schemas.openxmlformats.org/officeDocument/2006/relationships" name="掉落池定义" sheetId="69" r:id="Rb561ffc817b34ed4"/>
    <x:sheet xmlns:r="http://schemas.openxmlformats.org/officeDocument/2006/relationships" name="掉落条目" sheetId="70" r:id="Rc3dc0833856940bc"/>
    <x:sheet xmlns:r="http://schemas.openxmlformats.org/officeDocument/2006/relationships" name="高品质随机掉落额度" sheetId="71" r:id="R4006ed8d46014fed"/>
    <x:sheet xmlns:r="http://schemas.openxmlformats.org/officeDocument/2006/relationships" name="装备分解金币与副产物" sheetId="72" r:id="Rb72f75cc9e724dbe"/>
    <x:sheet xmlns:r="http://schemas.openxmlformats.org/officeDocument/2006/relationships" name="词条阶段基数与上限" sheetId="73" r:id="R4c0bc58662fc4962"/>
    <x:sheet xmlns:r="http://schemas.openxmlformats.org/officeDocument/2006/relationships" name="锄头工具" sheetId="74" r:id="R302a2c9addb34c70"/>
    <x:sheet xmlns:r="http://schemas.openxmlformats.org/officeDocument/2006/relationships" name="图纸打造配方" sheetId="75" r:id="R281678abc54943d7"/>
    <x:sheet xmlns:r="http://schemas.openxmlformats.org/officeDocument/2006/relationships" name="修理配方" sheetId="76" r:id="R2e73b9edd7374f12"/>
    <x:sheet xmlns:r="http://schemas.openxmlformats.org/officeDocument/2006/relationships" name="BOSS与场次模板" sheetId="77" r:id="Rd07573472d174ebc"/>
    <x:sheet xmlns:r="http://schemas.openxmlformats.org/officeDocument/2006/relationships" name="讨伐链模板" sheetId="78" r:id="R4e51f7489202452c"/>
    <x:sheet xmlns:r="http://schemas.openxmlformats.org/officeDocument/2006/relationships" name="竞技赛季奖励与兑换" sheetId="79" r:id="R4abe9e25c3594304"/>
    <x:sheet xmlns:r="http://schemas.openxmlformats.org/officeDocument/2006/relationships" name="主线任务" sheetId="80" r:id="Rd9670dfebe1f49b2"/>
    <x:sheet xmlns:r="http://schemas.openxmlformats.org/officeDocument/2006/relationships" name="每日任务池" sheetId="81" r:id="Rd1636a55e46b4342"/>
    <x:sheet xmlns:r="http://schemas.openxmlformats.org/officeDocument/2006/relationships" name="永久成就" sheetId="82" r:id="R0313649dff254d09"/>
    <x:sheet xmlns:r="http://schemas.openxmlformats.org/officeDocument/2006/relationships" name="怪物图鉴条目" sheetId="83" r:id="R75c45d8870844f1b"/>
    <x:sheet xmlns:r="http://schemas.openxmlformats.org/officeDocument/2006/relationships" name="魂兽逐星价值与消耗" sheetId="84" r:id="R235c4c959f23402b"/>
    <x:sheet xmlns:r="http://schemas.openxmlformats.org/officeDocument/2006/relationships" name="勋章逐级配置" sheetId="85" r:id="Rb4c5175c340647ac"/>
    <x:sheet xmlns:r="http://schemas.openxmlformats.org/officeDocument/2006/relationships" name="奖励组定义" sheetId="86" r:id="R2787df3765e04b6c"/>
    <x:sheet xmlns:r="http://schemas.openxmlformats.org/officeDocument/2006/relationships" name="奖励组条目" sheetId="87" r:id="Re9f750d0f23941e2"/>
    <x:sheet xmlns:r="http://schemas.openxmlformats.org/officeDocument/2006/relationships" name="系统邮件模板" sheetId="88" r:id="R9faf3c66a48d4431"/>
    <x:sheet xmlns:r="http://schemas.openxmlformats.org/officeDocument/2006/relationships" name="属性单位与结算管线" sheetId="89" r:id="R7dd2a82d053048e7"/>
    <x:sheet xmlns:r="http://schemas.openxmlformats.org/officeDocument/2006/relationships" name="历史七档行为样本" sheetId="90" r:id="R245175e490094214"/>
    <x:sheet xmlns:r="http://schemas.openxmlformats.org/officeDocument/2006/relationships" name="历史样本隔离" sheetId="91" r:id="Rc195fe1fe8344fdc"/>
    <x:sheet xmlns:r="http://schemas.openxmlformats.org/officeDocument/2006/relationships" name="服务端权威规则" sheetId="92" r:id="Ra8575e7bfef34fee"/>
    <x:sheet xmlns:r="http://schemas.openxmlformats.org/officeDocument/2006/relationships" name="发布缺口" sheetId="93" r:id="R30a8341e665e42b1"/>
    <x:sheet xmlns:r="http://schemas.openxmlformats.org/officeDocument/2006/relationships" name="使用说明" sheetId="94" r:id="R84f4fd80da80434c"/>
    <x:sheet xmlns:r="http://schemas.openxmlformats.org/officeDocument/2006/relationships" name="开发首循环夹具" sheetId="95" r:id="Rc8ccdce83d7e47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General"/>
  </x:numFmts>
  <x:fonts count="6">
    <x:font>
      <x:sz val="11"/>
      <x:name val="Carlito"/>
    </x:font>
    <x:font>
      <x:sz val="11"/>
      <x:color rgb="FF243247"/>
      <x:name val="Arial"/>
    </x:font>
    <x:font>
      <x:b/>
      <x:sz val="16"/>
      <x:color rgb="FF243B53"/>
      <x:name val="Arial"/>
    </x:font>
    <x:font>
      <x:b/>
      <x:sz val="11"/>
      <x:color rgb="FFFFFFFF"/>
      <x:name val="Arial"/>
    </x:font>
    <x:font>
      <x:sz val="11"/>
      <x:color rgb="FF344E68"/>
      <x:name val="Arial"/>
    </x:font>
    <x:font>
      <x:sz val="11"/>
      <x:color rgb="FF52657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7EDF3"/>
      </x:patternFill>
    </x:fill>
    <x:fill>
      <x:patternFill patternType="solid">
        <x:fgColor rgb="FFF3F5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812"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694252c4e44f83" /><Relationship Type="http://schemas.openxmlformats.org/officeDocument/2006/relationships/theme" Target="/xl/theme/theme1.xml" Id="Rad095dfa98ee4fe1" /><Relationship Type="http://schemas.microsoft.com/office/2022/11/relationships/FeaturePropertyBag" Target="/xl/featurePropertyBag/featurePropertyBag.xml" Id="R58cd6a0a567448de" /><Relationship Type="http://schemas.openxmlformats.org/officeDocument/2006/relationships/sharedStrings" Target="/xl/sharedStrings.xml" Id="R1f1f7bafc6604349" /><Relationship Type="http://schemas.openxmlformats.org/officeDocument/2006/relationships/worksheet" Target="/xl/worksheets/sheet1.xml" Id="R29979a24eadd476d" /><Relationship Type="http://schemas.openxmlformats.org/officeDocument/2006/relationships/worksheet" Target="/xl/worksheets/sheet2.xml" Id="Rd15872cfa37546d9" /><Relationship Type="http://schemas.openxmlformats.org/officeDocument/2006/relationships/worksheet" Target="/xl/worksheets/sheet3.xml" Id="Rd8e7ade54edd4841" /><Relationship Type="http://schemas.openxmlformats.org/officeDocument/2006/relationships/worksheet" Target="/xl/worksheets/sheet4.xml" Id="R65b1787e927e45ec" /><Relationship Type="http://schemas.openxmlformats.org/officeDocument/2006/relationships/worksheet" Target="/xl/worksheets/sheet5.xml" Id="R89b5ae0cb12c4dac" /><Relationship Type="http://schemas.openxmlformats.org/officeDocument/2006/relationships/worksheet" Target="/xl/worksheets/sheet6.xml" Id="R2d626453d6b4421d" /><Relationship Type="http://schemas.openxmlformats.org/officeDocument/2006/relationships/worksheet" Target="/xl/worksheets/sheet7.xml" Id="R8b5434a04bac4550" /><Relationship Type="http://schemas.openxmlformats.org/officeDocument/2006/relationships/worksheet" Target="/xl/worksheets/sheet8.xml" Id="Ra31798710f024c98" /><Relationship Type="http://schemas.openxmlformats.org/officeDocument/2006/relationships/worksheet" Target="/xl/worksheets/sheet9.xml" Id="R6f8012785c4b4a42" /><Relationship Type="http://schemas.openxmlformats.org/officeDocument/2006/relationships/worksheet" Target="/xl/worksheets/sheet10.xml" Id="R1876eab79a524cb8" /><Relationship Type="http://schemas.openxmlformats.org/officeDocument/2006/relationships/worksheet" Target="/xl/worksheets/sheet11.xml" Id="Rd295305fa2f84033" /><Relationship Type="http://schemas.openxmlformats.org/officeDocument/2006/relationships/worksheet" Target="/xl/worksheets/sheet12.xml" Id="R68d0332e34694561" /><Relationship Type="http://schemas.openxmlformats.org/officeDocument/2006/relationships/worksheet" Target="/xl/worksheets/sheet13.xml" Id="R14bc423b2709443a" /><Relationship Type="http://schemas.openxmlformats.org/officeDocument/2006/relationships/worksheet" Target="/xl/worksheets/sheet14.xml" Id="Rf38757f92719422a" /><Relationship Type="http://schemas.openxmlformats.org/officeDocument/2006/relationships/worksheet" Target="/xl/worksheets/sheet15.xml" Id="R1795e7453cc040d7" /><Relationship Type="http://schemas.openxmlformats.org/officeDocument/2006/relationships/worksheet" Target="/xl/worksheets/sheet16.xml" Id="Rf34caad4842c4b5e" /><Relationship Type="http://schemas.openxmlformats.org/officeDocument/2006/relationships/worksheet" Target="/xl/worksheets/sheet17.xml" Id="Rfb40a19a6fa9448a" /><Relationship Type="http://schemas.openxmlformats.org/officeDocument/2006/relationships/worksheet" Target="/xl/worksheets/sheet18.xml" Id="R3bfba8ab6b10471a" /><Relationship Type="http://schemas.openxmlformats.org/officeDocument/2006/relationships/worksheet" Target="/xl/worksheets/sheet19.xml" Id="R204e3b064a3d4fd1" /><Relationship Type="http://schemas.openxmlformats.org/officeDocument/2006/relationships/worksheet" Target="/xl/worksheets/sheet20.xml" Id="R7d8c4d13ef9d4b54" /><Relationship Type="http://schemas.openxmlformats.org/officeDocument/2006/relationships/worksheet" Target="/xl/worksheets/sheet21.xml" Id="Rf48f18d8be244075" /><Relationship Type="http://schemas.openxmlformats.org/officeDocument/2006/relationships/worksheet" Target="/xl/worksheets/sheet22.xml" Id="R874d960fc63345e3" /><Relationship Type="http://schemas.openxmlformats.org/officeDocument/2006/relationships/worksheet" Target="/xl/worksheets/sheet23.xml" Id="Rb1abe7add6a74402" /><Relationship Type="http://schemas.openxmlformats.org/officeDocument/2006/relationships/worksheet" Target="/xl/worksheets/sheet24.xml" Id="Rad50d1a01ae5465f" /><Relationship Type="http://schemas.openxmlformats.org/officeDocument/2006/relationships/worksheet" Target="/xl/worksheets/sheet25.xml" Id="Red5f9b7c588840f6" /><Relationship Type="http://schemas.openxmlformats.org/officeDocument/2006/relationships/worksheet" Target="/xl/worksheets/sheet26.xml" Id="Rf4f5e47a06a447fd" /><Relationship Type="http://schemas.openxmlformats.org/officeDocument/2006/relationships/worksheet" Target="/xl/worksheets/sheet27.xml" Id="R9aaceb2371304631" /><Relationship Type="http://schemas.openxmlformats.org/officeDocument/2006/relationships/worksheet" Target="/xl/worksheets/sheet28.xml" Id="R81cb4e0b92ca4350" /><Relationship Type="http://schemas.openxmlformats.org/officeDocument/2006/relationships/worksheet" Target="/xl/worksheets/sheet29.xml" Id="R6b689c1ee7194023" /><Relationship Type="http://schemas.openxmlformats.org/officeDocument/2006/relationships/worksheet" Target="/xl/worksheets/sheet30.xml" Id="Rb78b7061d87148cb" /><Relationship Type="http://schemas.openxmlformats.org/officeDocument/2006/relationships/worksheet" Target="/xl/worksheets/sheet31.xml" Id="Rbc97a8ff928b4e93" /><Relationship Type="http://schemas.openxmlformats.org/officeDocument/2006/relationships/worksheet" Target="/xl/worksheets/sheet32.xml" Id="R040deac1ca3d4645" /><Relationship Type="http://schemas.openxmlformats.org/officeDocument/2006/relationships/worksheet" Target="/xl/worksheets/sheet33.xml" Id="R4370743c75b54b30" /><Relationship Type="http://schemas.openxmlformats.org/officeDocument/2006/relationships/worksheet" Target="/xl/worksheets/sheet34.xml" Id="Rc2ff6ad51d5f4540" /><Relationship Type="http://schemas.openxmlformats.org/officeDocument/2006/relationships/worksheet" Target="/xl/worksheets/sheet35.xml" Id="Re38e6c31797a4009" /><Relationship Type="http://schemas.openxmlformats.org/officeDocument/2006/relationships/worksheet" Target="/xl/worksheets/sheet36.xml" Id="R1e9a3657d3764ea6" /><Relationship Type="http://schemas.openxmlformats.org/officeDocument/2006/relationships/worksheet" Target="/xl/worksheets/sheet37.xml" Id="R7138dc2fc1714444" /><Relationship Type="http://schemas.openxmlformats.org/officeDocument/2006/relationships/worksheet" Target="/xl/worksheets/sheet38.xml" Id="R4736534700924f98" /><Relationship Type="http://schemas.openxmlformats.org/officeDocument/2006/relationships/worksheet" Target="/xl/worksheets/sheet39.xml" Id="R98dbfe4fe44248c8" /><Relationship Type="http://schemas.openxmlformats.org/officeDocument/2006/relationships/worksheet" Target="/xl/worksheets/sheet40.xml" Id="R5c7661a3b9074e5c" /><Relationship Type="http://schemas.openxmlformats.org/officeDocument/2006/relationships/worksheet" Target="/xl/worksheets/sheet41.xml" Id="R65079e9903404cc8" /><Relationship Type="http://schemas.openxmlformats.org/officeDocument/2006/relationships/worksheet" Target="/xl/worksheets/sheet42.xml" Id="R22bf7dee501441a2" /><Relationship Type="http://schemas.openxmlformats.org/officeDocument/2006/relationships/worksheet" Target="/xl/worksheets/sheet43.xml" Id="R6eddd4d6a0404829" /><Relationship Type="http://schemas.openxmlformats.org/officeDocument/2006/relationships/worksheet" Target="/xl/worksheets/sheet44.xml" Id="R7be18f66c44b49e6" /><Relationship Type="http://schemas.openxmlformats.org/officeDocument/2006/relationships/worksheet" Target="/xl/worksheets/sheet45.xml" Id="R09aa52083b2241d1" /><Relationship Type="http://schemas.openxmlformats.org/officeDocument/2006/relationships/worksheet" Target="/xl/worksheets/sheet46.xml" Id="R0a42f2ab3e6f480d" /><Relationship Type="http://schemas.openxmlformats.org/officeDocument/2006/relationships/worksheet" Target="/xl/worksheets/sheet47.xml" Id="Rc53f531a853641b5" /><Relationship Type="http://schemas.openxmlformats.org/officeDocument/2006/relationships/worksheet" Target="/xl/worksheets/sheet48.xml" Id="Rc6db772d2bc44c17" /><Relationship Type="http://schemas.openxmlformats.org/officeDocument/2006/relationships/worksheet" Target="/xl/worksheets/sheet49.xml" Id="R324412749a9a4639" /><Relationship Type="http://schemas.openxmlformats.org/officeDocument/2006/relationships/worksheet" Target="/xl/worksheets/sheet50.xml" Id="R7a235b2f13104779" /><Relationship Type="http://schemas.openxmlformats.org/officeDocument/2006/relationships/worksheet" Target="/xl/worksheets/sheet51.xml" Id="R1d19599022394158" /><Relationship Type="http://schemas.openxmlformats.org/officeDocument/2006/relationships/worksheet" Target="/xl/worksheets/sheet52.xml" Id="Rbc09aedc5e884043" /><Relationship Type="http://schemas.openxmlformats.org/officeDocument/2006/relationships/worksheet" Target="/xl/worksheets/sheet53.xml" Id="Rf361fdf839b74a79" /><Relationship Type="http://schemas.openxmlformats.org/officeDocument/2006/relationships/worksheet" Target="/xl/worksheets/sheet54.xml" Id="Rcb585e94884641ca" /><Relationship Type="http://schemas.openxmlformats.org/officeDocument/2006/relationships/worksheet" Target="/xl/worksheets/sheet55.xml" Id="R9f5fa1315aa24ac6" /><Relationship Type="http://schemas.openxmlformats.org/officeDocument/2006/relationships/worksheet" Target="/xl/worksheets/sheet56.xml" Id="Rd14a63abb3b64fc9" /><Relationship Type="http://schemas.openxmlformats.org/officeDocument/2006/relationships/worksheet" Target="/xl/worksheets/sheet57.xml" Id="R5d318beb6be04f9a" /><Relationship Type="http://schemas.openxmlformats.org/officeDocument/2006/relationships/worksheet" Target="/xl/worksheets/sheet58.xml" Id="Rf8b528d8519a4450" /><Relationship Type="http://schemas.openxmlformats.org/officeDocument/2006/relationships/worksheet" Target="/xl/worksheets/sheet59.xml" Id="Raef31f0d46b248e2" /><Relationship Type="http://schemas.openxmlformats.org/officeDocument/2006/relationships/worksheet" Target="/xl/worksheets/sheet60.xml" Id="Rbf35baac298947d3" /><Relationship Type="http://schemas.openxmlformats.org/officeDocument/2006/relationships/worksheet" Target="/xl/worksheets/sheet61.xml" Id="R4355447172514317" /><Relationship Type="http://schemas.openxmlformats.org/officeDocument/2006/relationships/worksheet" Target="/xl/worksheets/sheet62.xml" Id="R2dca357a6a2048cc" /><Relationship Type="http://schemas.openxmlformats.org/officeDocument/2006/relationships/worksheet" Target="/xl/worksheets/sheet63.xml" Id="Rcc19327d36744b3e" /><Relationship Type="http://schemas.openxmlformats.org/officeDocument/2006/relationships/worksheet" Target="/xl/worksheets/sheet64.xml" Id="R2b7a6ceb73ad4ddf" /><Relationship Type="http://schemas.openxmlformats.org/officeDocument/2006/relationships/worksheet" Target="/xl/worksheets/sheet65.xml" Id="R030cb3341b344cab" /><Relationship Type="http://schemas.openxmlformats.org/officeDocument/2006/relationships/worksheet" Target="/xl/worksheets/sheet66.xml" Id="R915e42bcd0d04201" /><Relationship Type="http://schemas.openxmlformats.org/officeDocument/2006/relationships/worksheet" Target="/xl/worksheets/sheet67.xml" Id="Rf0e24eb2ac144d72" /><Relationship Type="http://schemas.openxmlformats.org/officeDocument/2006/relationships/worksheet" Target="/xl/worksheets/sheet68.xml" Id="R852b8d9d8fa34d5c" /><Relationship Type="http://schemas.openxmlformats.org/officeDocument/2006/relationships/worksheet" Target="/xl/worksheets/sheet69.xml" Id="Rb561ffc817b34ed4" /><Relationship Type="http://schemas.openxmlformats.org/officeDocument/2006/relationships/worksheet" Target="/xl/worksheets/sheet70.xml" Id="Rc3dc0833856940bc" /><Relationship Type="http://schemas.openxmlformats.org/officeDocument/2006/relationships/worksheet" Target="/xl/worksheets/sheet71.xml" Id="R4006ed8d46014fed" /><Relationship Type="http://schemas.openxmlformats.org/officeDocument/2006/relationships/worksheet" Target="/xl/worksheets/sheet72.xml" Id="Rb72f75cc9e724dbe" /><Relationship Type="http://schemas.openxmlformats.org/officeDocument/2006/relationships/worksheet" Target="/xl/worksheets/sheet73.xml" Id="R4c0bc58662fc4962" /><Relationship Type="http://schemas.openxmlformats.org/officeDocument/2006/relationships/worksheet" Target="/xl/worksheets/sheet74.xml" Id="R302a2c9addb34c70" /><Relationship Type="http://schemas.openxmlformats.org/officeDocument/2006/relationships/worksheet" Target="/xl/worksheets/sheet75.xml" Id="R281678abc54943d7" /><Relationship Type="http://schemas.openxmlformats.org/officeDocument/2006/relationships/worksheet" Target="/xl/worksheets/sheet76.xml" Id="R2e73b9edd7374f12" /><Relationship Type="http://schemas.openxmlformats.org/officeDocument/2006/relationships/worksheet" Target="/xl/worksheets/sheet77.xml" Id="Rd07573472d174ebc" /><Relationship Type="http://schemas.openxmlformats.org/officeDocument/2006/relationships/worksheet" Target="/xl/worksheets/sheet78.xml" Id="R4e51f7489202452c" /><Relationship Type="http://schemas.openxmlformats.org/officeDocument/2006/relationships/worksheet" Target="/xl/worksheets/sheet79.xml" Id="R4abe9e25c3594304" /><Relationship Type="http://schemas.openxmlformats.org/officeDocument/2006/relationships/worksheet" Target="/xl/worksheets/sheet80.xml" Id="Rd9670dfebe1f49b2" /><Relationship Type="http://schemas.openxmlformats.org/officeDocument/2006/relationships/worksheet" Target="/xl/worksheets/sheet81.xml" Id="Rd1636a55e46b4342" /><Relationship Type="http://schemas.openxmlformats.org/officeDocument/2006/relationships/worksheet" Target="/xl/worksheets/sheet82.xml" Id="R0313649dff254d09" /><Relationship Type="http://schemas.openxmlformats.org/officeDocument/2006/relationships/worksheet" Target="/xl/worksheets/sheet83.xml" Id="R75c45d8870844f1b" /><Relationship Type="http://schemas.openxmlformats.org/officeDocument/2006/relationships/worksheet" Target="/xl/worksheets/sheet84.xml" Id="R235c4c959f23402b" /><Relationship Type="http://schemas.openxmlformats.org/officeDocument/2006/relationships/worksheet" Target="/xl/worksheets/sheet85.xml" Id="Rb4c5175c340647ac" /><Relationship Type="http://schemas.openxmlformats.org/officeDocument/2006/relationships/worksheet" Target="/xl/worksheets/sheet86.xml" Id="R2787df3765e04b6c" /><Relationship Type="http://schemas.openxmlformats.org/officeDocument/2006/relationships/worksheet" Target="/xl/worksheets/sheet87.xml" Id="Re9f750d0f23941e2" /><Relationship Type="http://schemas.openxmlformats.org/officeDocument/2006/relationships/worksheet" Target="/xl/worksheets/sheet88.xml" Id="R9faf3c66a48d4431" /><Relationship Type="http://schemas.openxmlformats.org/officeDocument/2006/relationships/worksheet" Target="/xl/worksheets/sheet89.xml" Id="R7dd2a82d053048e7" /><Relationship Type="http://schemas.openxmlformats.org/officeDocument/2006/relationships/worksheet" Target="/xl/worksheets/sheet90.xml" Id="R245175e490094214" /><Relationship Type="http://schemas.openxmlformats.org/officeDocument/2006/relationships/worksheet" Target="/xl/worksheets/sheet91.xml" Id="Rc195fe1fe8344fdc" /><Relationship Type="http://schemas.openxmlformats.org/officeDocument/2006/relationships/worksheet" Target="/xl/worksheets/sheet92.xml" Id="Ra8575e7bfef34fee" /><Relationship Type="http://schemas.openxmlformats.org/officeDocument/2006/relationships/worksheet" Target="/xl/worksheets/sheet93.xml" Id="R30a8341e665e42b1" /><Relationship Type="http://schemas.openxmlformats.org/officeDocument/2006/relationships/worksheet" Target="/xl/worksheets/sheet94.xml" Id="R84f4fd80da80434c" /><Relationship Type="http://schemas.openxmlformats.org/officeDocument/2006/relationships/worksheet" Target="/xl/worksheets/sheet95.xml" Id="Rc8ccdce83d7e47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3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</x:row>
    <x:row r="2" ht="26" customHeight="1">
      <x:c r="A2" s="3" t="str">
        <x:v>玩法配置目录</x:v>
      </x:c>
      <x:c r="B2" s="2"/>
      <x:c r="C2" s="2"/>
      <x:c r="D2" s="2"/>
      <x:c r="E2" s="2"/>
      <x:c r="F2" s="2"/>
      <x:c r="G2" s="2"/>
      <x:c r="H2" s="2"/>
    </x:row>
    <x:row r="3" ht="30" customHeight="1">
      <x:c r="A3" s="2" t="str">
        <x:v>2026-10-26　维护Excel数据区，导出时校验来源、类型和发布缺口</x:v>
      </x:c>
      <x:c r="B3" s="2"/>
      <x:c r="C3" s="2"/>
      <x:c r="D3" s="2"/>
      <x:c r="E3" s="2"/>
      <x:c r="F3" s="2"/>
      <x:c r="G3" s="2"/>
      <x:c r="H3" s="2"/>
    </x:row>
    <x:row r="4" ht="26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7" t="str">
        <x:v>配置表</x:v>
      </x:c>
      <x:c r="B5" s="7" t="str">
        <x:v>table_id</x:v>
      </x:c>
      <x:c r="C5" s="7" t="str">
        <x:v>记录数</x:v>
      </x:c>
      <x:c r="D5" s="7" t="str">
        <x:v>已定</x:v>
      </x:c>
      <x:c r="E5" s="7" t="str">
        <x:v>候选</x:v>
      </x:c>
      <x:c r="F5" s="7" t="str">
        <x:v>待核验</x:v>
      </x:c>
      <x:c r="G5" s="7" t="str">
        <x:v>历史</x:v>
      </x:c>
      <x:c r="H5" s="7" t="str">
        <x:v>发布必需</x:v>
      </x:c>
    </x:row>
    <x:row r="6" ht="26" customHeight="1">
      <x:c r="A6" s="2" t="str">
        <x:v>四货币</x:v>
      </x:c>
      <x:c r="B6" s="2" t="str">
        <x:v>game_currencies</x:v>
      </x:c>
      <x:c r="C6" s="2" t="n">
        <x:f>COUNTA('四货币'!$A$4:$A$10003)</x:f>
        <x:v>4</x:v>
      </x:c>
      <x:c r="D6" s="2" t="n">
        <x:f>COUNTIFS('四货币'!$I$4:$I$10003,"confirmed")</x:f>
        <x:v>4</x:v>
      </x:c>
      <x:c r="E6" s="2" t="n">
        <x:f>COUNTIFS('四货币'!$I$4:$I$10003,"candidate")</x:f>
        <x:v>0</x:v>
      </x:c>
      <x:c r="F6" s="2" t="n">
        <x:f>COUNTIFS('四货币'!$I$4:$I$10003,"unverified")</x:f>
        <x:v>0</x:v>
      </x:c>
      <x:c r="G6" s="2" t="n">
        <x:f>COUNTIFS('四货币'!$I$4:$I$10003,"historical")</x:f>
        <x:v>0</x:v>
      </x:c>
      <x:c r="H6" s="8" t="str">
        <x:v>是</x:v>
      </x:c>
    </x:row>
    <x:row r="7" ht="26" customHeight="1">
      <x:c r="A7" s="2" t="str">
        <x:v>职业与固定形象</x:v>
      </x:c>
      <x:c r="B7" s="2" t="str">
        <x:v>game_jobs</x:v>
      </x:c>
      <x:c r="C7" s="2" t="n">
        <x:f>COUNTA('职业与固定形象'!$A$4:$A$10003)</x:f>
        <x:v>3</x:v>
      </x:c>
      <x:c r="D7" s="2" t="n">
        <x:f>COUNTIFS('职业与固定形象'!$H$4:$H$10003,"confirmed")</x:f>
        <x:v>3</x:v>
      </x:c>
      <x:c r="E7" s="2" t="n">
        <x:f>COUNTIFS('职业与固定形象'!$H$4:$H$10003,"candidate")</x:f>
        <x:v>0</x:v>
      </x:c>
      <x:c r="F7" s="2" t="n">
        <x:f>COUNTIFS('职业与固定形象'!$H$4:$H$10003,"unverified")</x:f>
        <x:v>0</x:v>
      </x:c>
      <x:c r="G7" s="2" t="n">
        <x:f>COUNTIFS('职业与固定形象'!$H$4:$H$10003,"historical")</x:f>
        <x:v>0</x:v>
      </x:c>
      <x:c r="H7" s="8" t="str">
        <x:v>是</x:v>
      </x:c>
    </x:row>
    <x:row r="8" ht="26" customHeight="1">
      <x:c r="A8" s="2" t="str">
        <x:v>装备部位</x:v>
      </x:c>
      <x:c r="B8" s="2" t="str">
        <x:v>game_equipment_slots</x:v>
      </x:c>
      <x:c r="C8" s="2" t="n">
        <x:f>COUNTA('装备部位'!$A$4:$A$10003)</x:f>
        <x:v>10</x:v>
      </x:c>
      <x:c r="D8" s="2" t="n">
        <x:f>COUNTIFS('装备部位'!$G$4:$G$10003,"confirmed")</x:f>
        <x:v>10</x:v>
      </x:c>
      <x:c r="E8" s="2" t="n">
        <x:f>COUNTIFS('装备部位'!$G$4:$G$10003,"candidate")</x:f>
        <x:v>0</x:v>
      </x:c>
      <x:c r="F8" s="2" t="n">
        <x:f>COUNTIFS('装备部位'!$G$4:$G$10003,"unverified")</x:f>
        <x:v>0</x:v>
      </x:c>
      <x:c r="G8" s="2" t="n">
        <x:f>COUNTIFS('装备部位'!$G$4:$G$10003,"historical")</x:f>
        <x:v>0</x:v>
      </x:c>
      <x:c r="H8" s="8" t="str">
        <x:v>是</x:v>
      </x:c>
    </x:row>
    <x:row r="9" ht="26" customHeight="1">
      <x:c r="A9" s="2" t="str">
        <x:v>品质与词条槽</x:v>
      </x:c>
      <x:c r="B9" s="2" t="str">
        <x:v>game_qualities</x:v>
      </x:c>
      <x:c r="C9" s="2" t="n">
        <x:f>COUNTA('品质与词条槽'!$A$4:$A$10003)</x:f>
        <x:v>5</x:v>
      </x:c>
      <x:c r="D9" s="2" t="n">
        <x:f>COUNTIFS('品质与词条槽'!$G$4:$G$10003,"confirmed")</x:f>
        <x:v>5</x:v>
      </x:c>
      <x:c r="E9" s="2" t="n">
        <x:f>COUNTIFS('品质与词条槽'!$G$4:$G$10003,"candidate")</x:f>
        <x:v>0</x:v>
      </x:c>
      <x:c r="F9" s="2" t="n">
        <x:f>COUNTIFS('品质与词条槽'!$G$4:$G$10003,"unverified")</x:f>
        <x:v>0</x:v>
      </x:c>
      <x:c r="G9" s="2" t="n">
        <x:f>COUNTIFS('品质与词条槽'!$G$4:$G$10003,"historical")</x:f>
        <x:v>0</x:v>
      </x:c>
      <x:c r="H9" s="8" t="str">
        <x:v>是</x:v>
      </x:c>
    </x:row>
    <x:row r="10" ht="26" customHeight="1">
      <x:c r="A10" s="2" t="str">
        <x:v>装备阶段</x:v>
      </x:c>
      <x:c r="B10" s="2" t="str">
        <x:v>game_stages</x:v>
      </x:c>
      <x:c r="C10" s="2" t="n">
        <x:f>COUNTA('装备阶段'!$A$4:$A$10003)</x:f>
        <x:v>5</x:v>
      </x:c>
      <x:c r="D10" s="2" t="n">
        <x:f>COUNTIFS('装备阶段'!$F$4:$F$10003,"confirmed")</x:f>
        <x:v>5</x:v>
      </x:c>
      <x:c r="E10" s="2" t="n">
        <x:f>COUNTIFS('装备阶段'!$F$4:$F$10003,"candidate")</x:f>
        <x:v>0</x:v>
      </x:c>
      <x:c r="F10" s="2" t="n">
        <x:f>COUNTIFS('装备阶段'!$F$4:$F$10003,"unverified")</x:f>
        <x:v>0</x:v>
      </x:c>
      <x:c r="G10" s="2" t="n">
        <x:f>COUNTIFS('装备阶段'!$F$4:$F$10003,"historical")</x:f>
        <x:v>0</x:v>
      </x:c>
      <x:c r="H10" s="8" t="str">
        <x:v>是</x:v>
      </x:c>
    </x:row>
    <x:row r="11" ht="26" customHeight="1">
      <x:c r="A11" s="2" t="str">
        <x:v>产品范围与基础约束</x:v>
      </x:c>
      <x:c r="B11" s="2" t="str">
        <x:v>game_product_rules</x:v>
      </x:c>
      <x:c r="C11" s="2" t="n">
        <x:f>COUNTA('产品范围与基础约束'!$A$4:$A$10003)</x:f>
        <x:v>23</x:v>
      </x:c>
      <x:c r="D11" s="2" t="n">
        <x:f>COUNTIFS('产品范围与基础约束'!$D$4:$D$10003,"confirmed")</x:f>
        <x:v>23</x:v>
      </x:c>
      <x:c r="E11" s="2" t="n">
        <x:f>COUNTIFS('产品范围与基础约束'!$D$4:$D$10003,"candidate")</x:f>
        <x:v>0</x:v>
      </x:c>
      <x:c r="F11" s="2" t="n">
        <x:f>COUNTIFS('产品范围与基础约束'!$D$4:$D$10003,"unverified")</x:f>
        <x:v>0</x:v>
      </x:c>
      <x:c r="G11" s="2" t="n">
        <x:f>COUNTIFS('产品范围与基础约束'!$D$4:$D$10003,"historical")</x:f>
        <x:v>0</x:v>
      </x:c>
      <x:c r="H11" s="8" t="str">
        <x:v>是</x:v>
      </x:c>
    </x:row>
    <x:row r="12" ht="26" customHeight="1">
      <x:c r="A12" s="2" t="str">
        <x:v>角色与仓库规则</x:v>
      </x:c>
      <x:c r="B12" s="2" t="str">
        <x:v>game_warehouse_rules</x:v>
      </x:c>
      <x:c r="C12" s="2" t="n">
        <x:f>COUNTA('角色与仓库规则'!$A$4:$A$10003)</x:f>
        <x:v>13</x:v>
      </x:c>
      <x:c r="D12" s="2" t="n">
        <x:f>COUNTIFS('角色与仓库规则'!$D$4:$D$10003,"confirmed")</x:f>
        <x:v>11</x:v>
      </x:c>
      <x:c r="E12" s="2" t="n">
        <x:f>COUNTIFS('角色与仓库规则'!$D$4:$D$10003,"candidate")</x:f>
        <x:v>0</x:v>
      </x:c>
      <x:c r="F12" s="2" t="n">
        <x:f>COUNTIFS('角色与仓库规则'!$D$4:$D$10003,"unverified")</x:f>
        <x:v>2</x:v>
      </x:c>
      <x:c r="G12" s="2" t="n">
        <x:f>COUNTIFS('角色与仓库规则'!$D$4:$D$10003,"historical")</x:f>
        <x:v>0</x:v>
      </x:c>
      <x:c r="H12" s="8" t="str">
        <x:v>是</x:v>
      </x:c>
    </x:row>
    <x:row r="13" ht="26" customHeight="1">
      <x:c r="A13" s="2" t="str">
        <x:v>绑定判定事件</x:v>
      </x:c>
      <x:c r="B13" s="2" t="str">
        <x:v>game_binding_events</x:v>
      </x:c>
      <x:c r="C13" s="2" t="n">
        <x:f>COUNTA('绑定判定事件'!$A$4:$A$10003)</x:f>
        <x:v>9</x:v>
      </x:c>
      <x:c r="D13" s="2" t="n">
        <x:f>COUNTIFS('绑定判定事件'!$G$4:$G$10003,"confirmed")</x:f>
        <x:v>9</x:v>
      </x:c>
      <x:c r="E13" s="2" t="n">
        <x:f>COUNTIFS('绑定判定事件'!$G$4:$G$10003,"candidate")</x:f>
        <x:v>0</x:v>
      </x:c>
      <x:c r="F13" s="2" t="n">
        <x:f>COUNTIFS('绑定判定事件'!$G$4:$G$10003,"unverified")</x:f>
        <x:v>0</x:v>
      </x:c>
      <x:c r="G13" s="2" t="n">
        <x:f>COUNTIFS('绑定判定事件'!$G$4:$G$10003,"historical")</x:f>
        <x:v>0</x:v>
      </x:c>
      <x:c r="H13" s="8" t="str">
        <x:v>是</x:v>
      </x:c>
    </x:row>
    <x:row r="14" ht="26" customHeight="1">
      <x:c r="A14" s="2" t="str">
        <x:v>绑定资源授权</x:v>
      </x:c>
      <x:c r="B14" s="2" t="str">
        <x:v>game_bound_resource_ui</x:v>
      </x:c>
      <x:c r="C14" s="2" t="n">
        <x:f>COUNTA('绑定资源授权'!$A$4:$A$10003)</x:f>
        <x:v>12</x:v>
      </x:c>
      <x:c r="D14" s="2" t="n">
        <x:f>COUNTIFS('绑定资源授权'!$D$4:$D$10003,"confirmed")</x:f>
        <x:v>12</x:v>
      </x:c>
      <x:c r="E14" s="2" t="n">
        <x:f>COUNTIFS('绑定资源授权'!$D$4:$D$10003,"candidate")</x:f>
        <x:v>0</x:v>
      </x:c>
      <x:c r="F14" s="2" t="n">
        <x:f>COUNTIFS('绑定资源授权'!$D$4:$D$10003,"unverified")</x:f>
        <x:v>0</x:v>
      </x:c>
      <x:c r="G14" s="2" t="n">
        <x:f>COUNTIFS('绑定资源授权'!$D$4:$D$10003,"historical")</x:f>
        <x:v>0</x:v>
      </x:c>
      <x:c r="H14" s="8" t="str">
        <x:v>是</x:v>
      </x:c>
    </x:row>
    <x:row r="15" ht="26" customHeight="1">
      <x:c r="A15" s="2" t="str">
        <x:v>双卡产品</x:v>
      </x:c>
      <x:c r="B15" s="2" t="str">
        <x:v>game_card_products</x:v>
      </x:c>
      <x:c r="C15" s="2" t="n">
        <x:f>COUNTA('双卡产品'!$A$4:$A$10003)</x:f>
        <x:v>8</x:v>
      </x:c>
      <x:c r="D15" s="2" t="n">
        <x:f>COUNTIFS('双卡产品'!$H$4:$H$10003,"confirmed")</x:f>
        <x:v>8</x:v>
      </x:c>
      <x:c r="E15" s="2" t="n">
        <x:f>COUNTIFS('双卡产品'!$H$4:$H$10003,"candidate")</x:f>
        <x:v>0</x:v>
      </x:c>
      <x:c r="F15" s="2" t="n">
        <x:f>COUNTIFS('双卡产品'!$H$4:$H$10003,"unverified")</x:f>
        <x:v>0</x:v>
      </x:c>
      <x:c r="G15" s="2" t="n">
        <x:f>COUNTIFS('双卡产品'!$H$4:$H$10003,"historical")</x:f>
        <x:v>0</x:v>
      </x:c>
      <x:c r="H15" s="8" t="str">
        <x:v>是</x:v>
      </x:c>
    </x:row>
    <x:row r="16" ht="26" customHeight="1">
      <x:c r="A16" s="2" t="str">
        <x:v>双卡与托管权益</x:v>
      </x:c>
      <x:c r="B16" s="2" t="str">
        <x:v>game_entitlement_rules</x:v>
      </x:c>
      <x:c r="C16" s="2" t="n">
        <x:f>COUNTA('双卡与托管权益'!$A$4:$A$10003)</x:f>
        <x:v>27</x:v>
      </x:c>
      <x:c r="D16" s="2" t="n">
        <x:f>COUNTIFS('双卡与托管权益'!$D$4:$D$10003,"confirmed")</x:f>
        <x:v>24</x:v>
      </x:c>
      <x:c r="E16" s="2" t="n">
        <x:f>COUNTIFS('双卡与托管权益'!$D$4:$D$10003,"candidate")</x:f>
        <x:v>1</x:v>
      </x:c>
      <x:c r="F16" s="2" t="n">
        <x:f>COUNTIFS('双卡与托管权益'!$D$4:$D$10003,"unverified")</x:f>
        <x:v>2</x:v>
      </x:c>
      <x:c r="G16" s="2" t="n">
        <x:f>COUNTIFS('双卡与托管权益'!$D$4:$D$10003,"historical")</x:f>
        <x:v>0</x:v>
      </x:c>
      <x:c r="H16" s="8" t="str">
        <x:v>是</x:v>
      </x:c>
    </x:row>
    <x:row r="17" ht="26" customHeight="1">
      <x:c r="A17" s="2" t="str">
        <x:v>道具竞购规则</x:v>
      </x:c>
      <x:c r="B17" s="2" t="str">
        <x:v>game_item_market_rules</x:v>
      </x:c>
      <x:c r="C17" s="2" t="n">
        <x:f>COUNTA('道具竞购规则'!$A$4:$A$10003)</x:f>
        <x:v>22</x:v>
      </x:c>
      <x:c r="D17" s="2" t="n">
        <x:f>COUNTIFS('道具竞购规则'!$D$4:$D$10003,"confirmed")</x:f>
        <x:v>22</x:v>
      </x:c>
      <x:c r="E17" s="2" t="n">
        <x:f>COUNTIFS('道具竞购规则'!$D$4:$D$10003,"candidate")</x:f>
        <x:v>0</x:v>
      </x:c>
      <x:c r="F17" s="2" t="n">
        <x:f>COUNTIFS('道具竞购规则'!$D$4:$D$10003,"unverified")</x:f>
        <x:v>0</x:v>
      </x:c>
      <x:c r="G17" s="2" t="n">
        <x:f>COUNTIFS('道具竞购规则'!$D$4:$D$10003,"historical")</x:f>
        <x:v>0</x:v>
      </x:c>
      <x:c r="H17" s="8" t="str">
        <x:v>是</x:v>
      </x:c>
    </x:row>
    <x:row r="18" ht="26" customHeight="1">
      <x:c r="A18" s="2" t="str">
        <x:v>金币撮合规则</x:v>
      </x:c>
      <x:c r="B18" s="2" t="str">
        <x:v>game_gold_market_rules</x:v>
      </x:c>
      <x:c r="C18" s="2" t="n">
        <x:f>COUNTA('金币撮合规则'!$A$4:$A$10003)</x:f>
        <x:v>14</x:v>
      </x:c>
      <x:c r="D18" s="2" t="n">
        <x:f>COUNTIFS('金币撮合规则'!$D$4:$D$10003,"confirmed")</x:f>
        <x:v>13</x:v>
      </x:c>
      <x:c r="E18" s="2" t="n">
        <x:f>COUNTIFS('金币撮合规则'!$D$4:$D$10003,"candidate")</x:f>
        <x:v>0</x:v>
      </x:c>
      <x:c r="F18" s="2" t="n">
        <x:f>COUNTIFS('金币撮合规则'!$D$4:$D$10003,"unverified")</x:f>
        <x:v>1</x:v>
      </x:c>
      <x:c r="G18" s="2" t="n">
        <x:f>COUNTIFS('金币撮合规则'!$D$4:$D$10003,"historical")</x:f>
        <x:v>0</x:v>
      </x:c>
      <x:c r="H18" s="8" t="str">
        <x:v>是</x:v>
      </x:c>
    </x:row>
    <x:row r="19" ht="26" customHeight="1">
      <x:c r="A19" s="2" t="str">
        <x:v>普通掉落互斥分类</x:v>
      </x:c>
      <x:c r="B19" s="2" t="str">
        <x:v>game_drop_categories</x:v>
      </x:c>
      <x:c r="C19" s="2" t="n">
        <x:f>COUNTA('普通掉落互斥分类'!$A$4:$A$10003)</x:f>
        <x:v>4</x:v>
      </x:c>
      <x:c r="D19" s="2" t="n">
        <x:f>COUNTIFS('普通掉落互斥分类'!$E$4:$E$10003,"confirmed")</x:f>
        <x:v>4</x:v>
      </x:c>
      <x:c r="E19" s="2" t="n">
        <x:f>COUNTIFS('普通掉落互斥分类'!$E$4:$E$10003,"candidate")</x:f>
        <x:v>0</x:v>
      </x:c>
      <x:c r="F19" s="2" t="n">
        <x:f>COUNTIFS('普通掉落互斥分类'!$E$4:$E$10003,"unverified")</x:f>
        <x:v>0</x:v>
      </x:c>
      <x:c r="G19" s="2" t="n">
        <x:f>COUNTIFS('普通掉落互斥分类'!$E$4:$E$10003,"historical")</x:f>
        <x:v>0</x:v>
      </x:c>
      <x:c r="H19" s="8" t="str">
        <x:v>是</x:v>
      </x:c>
    </x:row>
    <x:row r="20" ht="26" customHeight="1">
      <x:c r="A20" s="2" t="str">
        <x:v>保底与掉落限额规则</x:v>
      </x:c>
      <x:c r="B20" s="2" t="str">
        <x:v>game_drop_guarantees</x:v>
      </x:c>
      <x:c r="C20" s="2" t="n">
        <x:f>COUNTA('保底与掉落限额规则'!$A$4:$A$10003)</x:f>
        <x:v>4</x:v>
      </x:c>
      <x:c r="D20" s="2" t="n">
        <x:f>COUNTIFS('保底与掉落限额规则'!$D$4:$D$10003,"confirmed")</x:f>
        <x:v>3</x:v>
      </x:c>
      <x:c r="E20" s="2" t="n">
        <x:f>COUNTIFS('保底与掉落限额规则'!$D$4:$D$10003,"candidate")</x:f>
        <x:v>1</x:v>
      </x:c>
      <x:c r="F20" s="2" t="n">
        <x:f>COUNTIFS('保底与掉落限额规则'!$D$4:$D$10003,"unverified")</x:f>
        <x:v>0</x:v>
      </x:c>
      <x:c r="G20" s="2" t="n">
        <x:f>COUNTIFS('保底与掉落限额规则'!$D$4:$D$10003,"historical")</x:f>
        <x:v>0</x:v>
      </x:c>
      <x:c r="H20" s="8" t="str">
        <x:v>是</x:v>
      </x:c>
    </x:row>
    <x:row r="21" ht="26" customHeight="1">
      <x:c r="A21" s="2" t="str">
        <x:v>洗炼16词条池</x:v>
      </x:c>
      <x:c r="B21" s="2" t="str">
        <x:v>game_affixes</x:v>
      </x:c>
      <x:c r="C21" s="2" t="n">
        <x:f>COUNTA('洗炼16词条池'!$A$4:$A$10003)</x:f>
        <x:v>16</x:v>
      </x:c>
      <x:c r="D21" s="2" t="n">
        <x:f>COUNTIFS('洗炼16词条池'!$G$4:$G$10003,"confirmed")</x:f>
        <x:v>0</x:v>
      </x:c>
      <x:c r="E21" s="2" t="n">
        <x:f>COUNTIFS('洗炼16词条池'!$G$4:$G$10003,"candidate")</x:f>
        <x:v>0</x:v>
      </x:c>
      <x:c r="F21" s="2" t="n">
        <x:f>COUNTIFS('洗炼16词条池'!$G$4:$G$10003,"unverified")</x:f>
        <x:v>16</x:v>
      </x:c>
      <x:c r="G21" s="2" t="n">
        <x:f>COUNTIFS('洗炼16词条池'!$G$4:$G$10003,"historical")</x:f>
        <x:v>0</x:v>
      </x:c>
      <x:c r="H21" s="8" t="str">
        <x:v>是</x:v>
      </x:c>
    </x:row>
    <x:row r="22" ht="26" customHeight="1">
      <x:c r="A22" s="2" t="str">
        <x:v>洗炼品质消耗</x:v>
      </x:c>
      <x:c r="B22" s="2" t="str">
        <x:v>game_refine_quality</x:v>
      </x:c>
      <x:c r="C22" s="2" t="n">
        <x:f>COUNTA('洗炼品质消耗'!$A$4:$A$10003)</x:f>
        <x:v>5</x:v>
      </x:c>
      <x:c r="D22" s="2" t="n">
        <x:f>COUNTIFS('洗炼品质消耗'!$G$4:$G$10003,"confirmed")</x:f>
        <x:v>0</x:v>
      </x:c>
      <x:c r="E22" s="2" t="n">
        <x:f>COUNTIFS('洗炼品质消耗'!$G$4:$G$10003,"candidate")</x:f>
        <x:v>0</x:v>
      </x:c>
      <x:c r="F22" s="2" t="n">
        <x:f>COUNTIFS('洗炼品质消耗'!$G$4:$G$10003,"unverified")</x:f>
        <x:v>5</x:v>
      </x:c>
      <x:c r="G22" s="2" t="n">
        <x:f>COUNTIFS('洗炼品质消耗'!$G$4:$G$10003,"historical")</x:f>
        <x:v>0</x:v>
      </x:c>
      <x:c r="H22" s="8" t="str">
        <x:v>是</x:v>
      </x:c>
    </x:row>
    <x:row r="23" ht="26" customHeight="1">
      <x:c r="A23" s="2" t="str">
        <x:v>洗炼五档</x:v>
      </x:c>
      <x:c r="B23" s="2" t="str">
        <x:v>game_refine_tiers</x:v>
      </x:c>
      <x:c r="C23" s="2" t="n">
        <x:f>COUNTA('洗炼五档'!$A$4:$A$10003)</x:f>
        <x:v>5</x:v>
      </x:c>
      <x:c r="D23" s="2" t="n">
        <x:f>COUNTIFS('洗炼五档'!$E$4:$E$10003,"confirmed")</x:f>
        <x:v>5</x:v>
      </x:c>
      <x:c r="E23" s="2" t="n">
        <x:f>COUNTIFS('洗炼五档'!$E$4:$E$10003,"candidate")</x:f>
        <x:v>0</x:v>
      </x:c>
      <x:c r="F23" s="2" t="n">
        <x:f>COUNTIFS('洗炼五档'!$E$4:$E$10003,"unverified")</x:f>
        <x:v>0</x:v>
      </x:c>
      <x:c r="G23" s="2" t="n">
        <x:f>COUNTIFS('洗炼五档'!$E$4:$E$10003,"historical")</x:f>
        <x:v>0</x:v>
      </x:c>
      <x:c r="H23" s="8" t="str">
        <x:v>是</x:v>
      </x:c>
    </x:row>
    <x:row r="24" ht="26" customHeight="1">
      <x:c r="A24" s="2" t="str">
        <x:v>洗炼锁槽费用</x:v>
      </x:c>
      <x:c r="B24" s="2" t="str">
        <x:v>game_refine_lock_costs</x:v>
      </x:c>
      <x:c r="C24" s="2" t="n">
        <x:f>COUNTA('洗炼锁槽费用'!$A$4:$A$10003)</x:f>
        <x:v>4</x:v>
      </x:c>
      <x:c r="D24" s="2" t="n">
        <x:f>COUNTIFS('洗炼锁槽费用'!$D$4:$D$10003,"confirmed")</x:f>
        <x:v>4</x:v>
      </x:c>
      <x:c r="E24" s="2" t="n">
        <x:f>COUNTIFS('洗炼锁槽费用'!$D$4:$D$10003,"candidate")</x:f>
        <x:v>0</x:v>
      </x:c>
      <x:c r="F24" s="2" t="n">
        <x:f>COUNTIFS('洗炼锁槽费用'!$D$4:$D$10003,"unverified")</x:f>
        <x:v>0</x:v>
      </x:c>
      <x:c r="G24" s="2" t="n">
        <x:f>COUNTIFS('洗炼锁槽费用'!$D$4:$D$10003,"historical")</x:f>
        <x:v>0</x:v>
      </x:c>
      <x:c r="H24" s="8" t="str">
        <x:v>是</x:v>
      </x:c>
    </x:row>
    <x:row r="25" ht="26" customHeight="1">
      <x:c r="A25" s="2" t="str">
        <x:v>部位强化逐级候选</x:v>
      </x:c>
      <x:c r="B25" s="2" t="str">
        <x:v>game_enhancement_levels</x:v>
      </x:c>
      <x:c r="C25" s="2" t="n">
        <x:f>COUNTA('部位强化逐级候选'!$A$4:$A$10003)</x:f>
        <x:v>50</x:v>
      </x:c>
      <x:c r="D25" s="2" t="n">
        <x:f>COUNTIFS('部位强化逐级候选'!$H$4:$H$10003,"confirmed")</x:f>
        <x:v>0</x:v>
      </x:c>
      <x:c r="E25" s="2" t="n">
        <x:f>COUNTIFS('部位强化逐级候选'!$H$4:$H$10003,"candidate")</x:f>
        <x:v>50</x:v>
      </x:c>
      <x:c r="F25" s="2" t="n">
        <x:f>COUNTIFS('部位强化逐级候选'!$H$4:$H$10003,"unverified")</x:f>
        <x:v>0</x:v>
      </x:c>
      <x:c r="G25" s="2" t="n">
        <x:f>COUNTIFS('部位强化逐级候选'!$H$4:$H$10003,"historical")</x:f>
        <x:v>0</x:v>
      </x:c>
      <x:c r="H25" s="8" t="str">
        <x:v>是</x:v>
      </x:c>
    </x:row>
    <x:row r="26" ht="26" customHeight="1">
      <x:c r="A26" s="2" t="str">
        <x:v>炼体七系候选</x:v>
      </x:c>
      <x:c r="B26" s="2" t="str">
        <x:v>game_body_tracks</x:v>
      </x:c>
      <x:c r="C26" s="2" t="n">
        <x:f>COUNTA('炼体七系候选'!$A$4:$A$10003)</x:f>
        <x:v>7</x:v>
      </x:c>
      <x:c r="D26" s="2" t="n">
        <x:f>COUNTIFS('炼体七系候选'!$H$4:$H$10003,"confirmed")</x:f>
        <x:v>0</x:v>
      </x:c>
      <x:c r="E26" s="2" t="n">
        <x:f>COUNTIFS('炼体七系候选'!$H$4:$H$10003,"candidate")</x:f>
        <x:v>7</x:v>
      </x:c>
      <x:c r="F26" s="2" t="n">
        <x:f>COUNTIFS('炼体七系候选'!$H$4:$H$10003,"unverified")</x:f>
        <x:v>0</x:v>
      </x:c>
      <x:c r="G26" s="2" t="n">
        <x:f>COUNTIFS('炼体七系候选'!$H$4:$H$10003,"historical")</x:f>
        <x:v>0</x:v>
      </x:c>
      <x:c r="H26" s="8" t="str">
        <x:v>是</x:v>
      </x:c>
    </x:row>
    <x:row r="27" ht="26" customHeight="1">
      <x:c r="A27" s="2" t="str">
        <x:v>炼体逐级概率</x:v>
      </x:c>
      <x:c r="B27" s="2" t="str">
        <x:v>game_body_level_steps</x:v>
      </x:c>
      <x:c r="C27" s="2" t="n">
        <x:f>COUNTA('炼体逐级概率'!$A$4:$A$10003)</x:f>
        <x:v>50</x:v>
      </x:c>
      <x:c r="D27" s="2" t="n">
        <x:f>COUNTIFS('炼体逐级概率'!$F$4:$F$10003,"confirmed")</x:f>
        <x:v>0</x:v>
      </x:c>
      <x:c r="E27" s="2" t="n">
        <x:f>COUNTIFS('炼体逐级概率'!$F$4:$F$10003,"candidate")</x:f>
        <x:v>50</x:v>
      </x:c>
      <x:c r="F27" s="2" t="n">
        <x:f>COUNTIFS('炼体逐级概率'!$F$4:$F$10003,"unverified")</x:f>
        <x:v>0</x:v>
      </x:c>
      <x:c r="G27" s="2" t="n">
        <x:f>COUNTIFS('炼体逐级概率'!$F$4:$F$10003,"historical")</x:f>
        <x:v>0</x:v>
      </x:c>
      <x:c r="H27" s="8" t="str">
        <x:v>是</x:v>
      </x:c>
    </x:row>
    <x:row r="28" ht="26" customHeight="1">
      <x:c r="A28" s="2" t="str">
        <x:v>初始幸运生成</x:v>
      </x:c>
      <x:c r="B28" s="2" t="str">
        <x:v>game_luck_initial</x:v>
      </x:c>
      <x:c r="C28" s="2" t="n">
        <x:f>COUNTA('初始幸运生成'!$A$4:$A$10003)</x:f>
        <x:v>3</x:v>
      </x:c>
      <x:c r="D28" s="2" t="n">
        <x:f>COUNTIFS('初始幸运生成'!$F$4:$F$10003,"confirmed")</x:f>
        <x:v>1</x:v>
      </x:c>
      <x:c r="E28" s="2" t="n">
        <x:f>COUNTIFS('初始幸运生成'!$F$4:$F$10003,"candidate")</x:f>
        <x:v>2</x:v>
      </x:c>
      <x:c r="F28" s="2" t="n">
        <x:f>COUNTIFS('初始幸运生成'!$F$4:$F$10003,"unverified")</x:f>
        <x:v>0</x:v>
      </x:c>
      <x:c r="G28" s="2" t="n">
        <x:f>COUNTIFS('初始幸运生成'!$F$4:$F$10003,"historical")</x:f>
        <x:v>0</x:v>
      </x:c>
      <x:c r="H28" s="8" t="str">
        <x:v>是</x:v>
      </x:c>
    </x:row>
    <x:row r="29" ht="26" customHeight="1">
      <x:c r="A29" s="2" t="str">
        <x:v>用油逐级规则</x:v>
      </x:c>
      <x:c r="B29" s="2" t="str">
        <x:v>game_luck_oil_steps</x:v>
      </x:c>
      <x:c r="C29" s="2" t="n">
        <x:f>COUNTA('用油逐级规则'!$A$4:$A$10003)</x:f>
        <x:v>9</x:v>
      </x:c>
      <x:c r="D29" s="2" t="n">
        <x:f>COUNTIFS('用油逐级规则'!$I$4:$I$10003,"confirmed")</x:f>
        <x:v>9</x:v>
      </x:c>
      <x:c r="E29" s="2" t="n">
        <x:f>COUNTIFS('用油逐级规则'!$I$4:$I$10003,"candidate")</x:f>
        <x:v>0</x:v>
      </x:c>
      <x:c r="F29" s="2" t="n">
        <x:f>COUNTIFS('用油逐级规则'!$I$4:$I$10003,"unverified")</x:f>
        <x:v>0</x:v>
      </x:c>
      <x:c r="G29" s="2" t="n">
        <x:f>COUNTIFS('用油逐级规则'!$I$4:$I$10003,"historical")</x:f>
        <x:v>0</x:v>
      </x:c>
      <x:c r="H29" s="8" t="str">
        <x:v>是</x:v>
      </x:c>
    </x:row>
    <x:row r="30" ht="26" customHeight="1">
      <x:c r="A30" s="2" t="str">
        <x:v>幸运一击贡献</x:v>
      </x:c>
      <x:c r="B30" s="2" t="str">
        <x:v>game_luck_contribution</x:v>
      </x:c>
      <x:c r="C30" s="2" t="n">
        <x:f>COUNTA('幸运一击贡献'!$A$4:$A$10003)</x:f>
        <x:v>24</x:v>
      </x:c>
      <x:c r="D30" s="2" t="n">
        <x:f>COUNTIFS('幸运一击贡献'!$E$4:$E$10003,"confirmed")</x:f>
        <x:v>24</x:v>
      </x:c>
      <x:c r="E30" s="2" t="n">
        <x:f>COUNTIFS('幸运一击贡献'!$E$4:$E$10003,"candidate")</x:f>
        <x:v>0</x:v>
      </x:c>
      <x:c r="F30" s="2" t="n">
        <x:f>COUNTIFS('幸运一击贡献'!$E$4:$E$10003,"unverified")</x:f>
        <x:v>0</x:v>
      </x:c>
      <x:c r="G30" s="2" t="n">
        <x:f>COUNTIFS('幸运一击贡献'!$E$4:$E$10003,"historical")</x:f>
        <x:v>0</x:v>
      </x:c>
      <x:c r="H30" s="8" t="str">
        <x:v>是</x:v>
      </x:c>
    </x:row>
    <x:row r="31" ht="26" customHeight="1">
      <x:c r="A31" s="2" t="str">
        <x:v>幸运11贡献位</x:v>
      </x:c>
      <x:c r="B31" s="2" t="str">
        <x:v>game_luck_sources</x:v>
      </x:c>
      <x:c r="C31" s="2" t="n">
        <x:f>COUNTA('幸运11贡献位'!$A$4:$A$10003)</x:f>
        <x:v>11</x:v>
      </x:c>
      <x:c r="D31" s="2" t="n">
        <x:f>COUNTIFS('幸运11贡献位'!$G$4:$G$10003,"confirmed")</x:f>
        <x:v>11</x:v>
      </x:c>
      <x:c r="E31" s="2" t="n">
        <x:f>COUNTIFS('幸运11贡献位'!$G$4:$G$10003,"candidate")</x:f>
        <x:v>0</x:v>
      </x:c>
      <x:c r="F31" s="2" t="n">
        <x:f>COUNTIFS('幸运11贡献位'!$G$4:$G$10003,"unverified")</x:f>
        <x:v>0</x:v>
      </x:c>
      <x:c r="G31" s="2" t="n">
        <x:f>COUNTIFS('幸运11贡献位'!$G$4:$G$10003,"historical")</x:f>
        <x:v>0</x:v>
      </x:c>
      <x:c r="H31" s="8" t="str">
        <x:v>是</x:v>
      </x:c>
    </x:row>
    <x:row r="32" ht="26" customHeight="1">
      <x:c r="A32" s="2" t="str">
        <x:v>幸运结算与分解规则</x:v>
      </x:c>
      <x:c r="B32" s="2" t="str">
        <x:v>game_luck_rules</x:v>
      </x:c>
      <x:c r="C32" s="2" t="n">
        <x:f>COUNTA('幸运结算与分解规则'!$A$4:$A$10003)</x:f>
        <x:v>11</x:v>
      </x:c>
      <x:c r="D32" s="2" t="n">
        <x:f>COUNTIFS('幸运结算与分解规则'!$D$4:$D$10003,"confirmed")</x:f>
        <x:v>11</x:v>
      </x:c>
      <x:c r="E32" s="2" t="n">
        <x:f>COUNTIFS('幸运结算与分解规则'!$D$4:$D$10003,"candidate")</x:f>
        <x:v>0</x:v>
      </x:c>
      <x:c r="F32" s="2" t="n">
        <x:f>COUNTIFS('幸运结算与分解规则'!$D$4:$D$10003,"unverified")</x:f>
        <x:v>0</x:v>
      </x:c>
      <x:c r="G32" s="2" t="n">
        <x:f>COUNTIFS('幸运结算与分解规则'!$D$4:$D$10003,"historical")</x:f>
        <x:v>0</x:v>
      </x:c>
      <x:c r="H32" s="8" t="str">
        <x:v>是</x:v>
      </x:c>
    </x:row>
    <x:row r="33" ht="26" customHeight="1">
      <x:c r="A33" s="2" t="str">
        <x:v>矿种候选</x:v>
      </x:c>
      <x:c r="B33" s="2" t="str">
        <x:v>game_ore_types</x:v>
      </x:c>
      <x:c r="C33" s="2" t="n">
        <x:f>COUNTA('矿种候选'!$A$4:$A$10003)</x:f>
        <x:v>4</x:v>
      </x:c>
      <x:c r="D33" s="2" t="n">
        <x:f>COUNTIFS('矿种候选'!$J$4:$J$10003,"confirmed")</x:f>
        <x:v>0</x:v>
      </x:c>
      <x:c r="E33" s="2" t="n">
        <x:f>COUNTIFS('矿种候选'!$J$4:$J$10003,"candidate")</x:f>
        <x:v>4</x:v>
      </x:c>
      <x:c r="F33" s="2" t="n">
        <x:f>COUNTIFS('矿种候选'!$J$4:$J$10003,"unverified")</x:f>
        <x:v>0</x:v>
      </x:c>
      <x:c r="G33" s="2" t="n">
        <x:f>COUNTIFS('矿种候选'!$J$4:$J$10003,"historical")</x:f>
        <x:v>0</x:v>
      </x:c>
      <x:c r="H33" s="8" t="str">
        <x:v>是</x:v>
      </x:c>
    </x:row>
    <x:row r="34" ht="26" customHeight="1">
      <x:c r="A34" s="2" t="str">
        <x:v>矿区楼层候选</x:v>
      </x:c>
      <x:c r="B34" s="2" t="str">
        <x:v>game_mine_layers</x:v>
      </x:c>
      <x:c r="C34" s="2" t="n">
        <x:f>COUNTA('矿区楼层候选'!$A$4:$A$10003)</x:f>
        <x:v>2</x:v>
      </x:c>
      <x:c r="D34" s="2" t="n">
        <x:f>COUNTIFS('矿区楼层候选'!$E$4:$E$10003,"confirmed")</x:f>
        <x:v>0</x:v>
      </x:c>
      <x:c r="E34" s="2" t="n">
        <x:f>COUNTIFS('矿区楼层候选'!$E$4:$E$10003,"candidate")</x:f>
        <x:v>2</x:v>
      </x:c>
      <x:c r="F34" s="2" t="n">
        <x:f>COUNTIFS('矿区楼层候选'!$E$4:$E$10003,"unverified")</x:f>
        <x:v>0</x:v>
      </x:c>
      <x:c r="G34" s="2" t="n">
        <x:f>COUNTIFS('矿区楼层候选'!$E$4:$E$10003,"historical")</x:f>
        <x:v>0</x:v>
      </x:c>
      <x:c r="H34" s="8" t="str">
        <x:v>是</x:v>
      </x:c>
    </x:row>
    <x:row r="35" ht="26" customHeight="1">
      <x:c r="A35" s="2" t="str">
        <x:v>矿石纯度档</x:v>
      </x:c>
      <x:c r="B35" s="2" t="str">
        <x:v>game_ore_purity</x:v>
      </x:c>
      <x:c r="C35" s="2" t="n">
        <x:f>COUNTA('矿石纯度档'!$A$4:$A$10003)</x:f>
        <x:v>5</x:v>
      </x:c>
      <x:c r="D35" s="2" t="n">
        <x:f>COUNTIFS('矿石纯度档'!$F$4:$F$10003,"confirmed")</x:f>
        <x:v>0</x:v>
      </x:c>
      <x:c r="E35" s="2" t="n">
        <x:f>COUNTIFS('矿石纯度档'!$F$4:$F$10003,"candidate")</x:f>
        <x:v>5</x:v>
      </x:c>
      <x:c r="F35" s="2" t="n">
        <x:f>COUNTIFS('矿石纯度档'!$F$4:$F$10003,"unverified")</x:f>
        <x:v>0</x:v>
      </x:c>
      <x:c r="G35" s="2" t="n">
        <x:f>COUNTIFS('矿石纯度档'!$F$4:$F$10003,"historical")</x:f>
        <x:v>0</x:v>
      </x:c>
      <x:c r="H35" s="8" t="str">
        <x:v>是</x:v>
      </x:c>
    </x:row>
    <x:row r="36" ht="26" customHeight="1">
      <x:c r="A36" s="2" t="str">
        <x:v>挖矿打造修理规则</x:v>
      </x:c>
      <x:c r="B36" s="2" t="str">
        <x:v>game_workshop_rules</x:v>
      </x:c>
      <x:c r="C36" s="2" t="n">
        <x:f>COUNTA('挖矿打造修理规则'!$A$4:$A$10003)</x:f>
        <x:v>33</x:v>
      </x:c>
      <x:c r="D36" s="2" t="n">
        <x:f>COUNTIFS('挖矿打造修理规则'!$D$4:$D$10003,"confirmed")</x:f>
        <x:v>16</x:v>
      </x:c>
      <x:c r="E36" s="2" t="n">
        <x:f>COUNTIFS('挖矿打造修理规则'!$D$4:$D$10003,"candidate")</x:f>
        <x:v>15</x:v>
      </x:c>
      <x:c r="F36" s="2" t="n">
        <x:f>COUNTIFS('挖矿打造修理规则'!$D$4:$D$10003,"unverified")</x:f>
        <x:v>2</x:v>
      </x:c>
      <x:c r="G36" s="2" t="n">
        <x:f>COUNTIFS('挖矿打造修理规则'!$D$4:$D$10003,"historical")</x:f>
        <x:v>0</x:v>
      </x:c>
      <x:c r="H36" s="8" t="str">
        <x:v>是</x:v>
      </x:c>
    </x:row>
    <x:row r="37" ht="26" customHeight="1">
      <x:c r="A37" s="2" t="str">
        <x:v>等级档费用候选</x:v>
      </x:c>
      <x:c r="B37" s="2" t="str">
        <x:v>game_level_band_economy</x:v>
      </x:c>
      <x:c r="C37" s="2" t="n">
        <x:f>COUNTA('等级档费用候选'!$A$4:$A$10003)</x:f>
        <x:v>5</x:v>
      </x:c>
      <x:c r="D37" s="2" t="n">
        <x:f>COUNTIFS('等级档费用候选'!$J$4:$J$10003,"confirmed")</x:f>
        <x:v>0</x:v>
      </x:c>
      <x:c r="E37" s="2" t="n">
        <x:f>COUNTIFS('等级档费用候选'!$J$4:$J$10003,"candidate")</x:f>
        <x:v>5</x:v>
      </x:c>
      <x:c r="F37" s="2" t="n">
        <x:f>COUNTIFS('等级档费用候选'!$J$4:$J$10003,"unverified")</x:f>
        <x:v>0</x:v>
      </x:c>
      <x:c r="G37" s="2" t="n">
        <x:f>COUNTIFS('等级档费用候选'!$J$4:$J$10003,"historical")</x:f>
        <x:v>0</x:v>
      </x:c>
      <x:c r="H37" s="8" t="str">
        <x:v>是</x:v>
      </x:c>
    </x:row>
    <x:row r="38" ht="26" customHeight="1">
      <x:c r="A38" s="2" t="str">
        <x:v>技能书分解候选</x:v>
      </x:c>
      <x:c r="B38" s="2" t="str">
        <x:v>game_book_recycle</x:v>
      </x:c>
      <x:c r="C38" s="2" t="n">
        <x:f>COUNTA('技能书分解候选'!$A$4:$A$10003)</x:f>
        <x:v>4</x:v>
      </x:c>
      <x:c r="D38" s="2" t="n">
        <x:f>COUNTIFS('技能书分解候选'!$E$4:$E$10003,"confirmed")</x:f>
        <x:v>0</x:v>
      </x:c>
      <x:c r="E38" s="2" t="n">
        <x:f>COUNTIFS('技能书分解候选'!$E$4:$E$10003,"candidate")</x:f>
        <x:v>4</x:v>
      </x:c>
      <x:c r="F38" s="2" t="n">
        <x:f>COUNTIFS('技能书分解候选'!$E$4:$E$10003,"unverified")</x:f>
        <x:v>0</x:v>
      </x:c>
      <x:c r="G38" s="2" t="n">
        <x:f>COUNTIFS('技能书分解候选'!$E$4:$E$10003,"historical")</x:f>
        <x:v>0</x:v>
      </x:c>
      <x:c r="H38" s="8" t="str">
        <x:v>是</x:v>
      </x:c>
    </x:row>
    <x:row r="39" ht="26" customHeight="1">
      <x:c r="A39" s="2" t="str">
        <x:v>商城商品候选</x:v>
      </x:c>
      <x:c r="B39" s="2" t="str">
        <x:v>game_shop_prices</x:v>
      </x:c>
      <x:c r="C39" s="2" t="n">
        <x:f>COUNTA('商城商品候选'!$A$4:$A$10003)</x:f>
        <x:v>24</x:v>
      </x:c>
      <x:c r="D39" s="2" t="n">
        <x:f>COUNTIFS('商城商品候选'!$I$4:$I$10003,"confirmed")</x:f>
        <x:v>0</x:v>
      </x:c>
      <x:c r="E39" s="2" t="n">
        <x:f>COUNTIFS('商城商品候选'!$I$4:$I$10003,"candidate")</x:f>
        <x:v>23</x:v>
      </x:c>
      <x:c r="F39" s="2" t="n">
        <x:f>COUNTIFS('商城商品候选'!$I$4:$I$10003,"unverified")</x:f>
        <x:v>1</x:v>
      </x:c>
      <x:c r="G39" s="2" t="n">
        <x:f>COUNTIFS('商城商品候选'!$I$4:$I$10003,"historical")</x:f>
        <x:v>0</x:v>
      </x:c>
      <x:c r="H39" s="8" t="str">
        <x:v>是</x:v>
      </x:c>
    </x:row>
    <x:row r="40" ht="26" customHeight="1">
      <x:c r="A40" s="2" t="str">
        <x:v>挑战与副本规则</x:v>
      </x:c>
      <x:c r="B40" s="2" t="str">
        <x:v>game_challenge_rules</x:v>
      </x:c>
      <x:c r="C40" s="2" t="n">
        <x:f>COUNTA('挑战与副本规则'!$A$4:$A$10003)</x:f>
        <x:v>24</x:v>
      </x:c>
      <x:c r="D40" s="2" t="n">
        <x:f>COUNTIFS('挑战与副本规则'!$D$4:$D$10003,"confirmed")</x:f>
        <x:v>17</x:v>
      </x:c>
      <x:c r="E40" s="2" t="n">
        <x:f>COUNTIFS('挑战与副本规则'!$D$4:$D$10003,"candidate")</x:f>
        <x:v>5</x:v>
      </x:c>
      <x:c r="F40" s="2" t="n">
        <x:f>COUNTIFS('挑战与副本规则'!$D$4:$D$10003,"unverified")</x:f>
        <x:v>2</x:v>
      </x:c>
      <x:c r="G40" s="2" t="n">
        <x:f>COUNTIFS('挑战与副本规则'!$D$4:$D$10003,"historical")</x:f>
        <x:v>0</x:v>
      </x:c>
      <x:c r="H40" s="8" t="str">
        <x:v>是</x:v>
      </x:c>
    </x:row>
    <x:row r="41" ht="26" customHeight="1">
      <x:c r="A41" s="2" t="str">
        <x:v>副本等级入口</x:v>
      </x:c>
      <x:c r="B41" s="2" t="str">
        <x:v>game_dungeon_unlocks</x:v>
      </x:c>
      <x:c r="C41" s="2" t="n">
        <x:f>COUNTA('副本等级入口'!$A$4:$A$10003)</x:f>
        <x:v>4</x:v>
      </x:c>
      <x:c r="D41" s="2" t="n">
        <x:f>COUNTIFS('副本等级入口'!$D$4:$D$10003,"confirmed")</x:f>
        <x:v>0</x:v>
      </x:c>
      <x:c r="E41" s="2" t="n">
        <x:f>COUNTIFS('副本等级入口'!$D$4:$D$10003,"candidate")</x:f>
        <x:v>0</x:v>
      </x:c>
      <x:c r="F41" s="2" t="n">
        <x:f>COUNTIFS('副本等级入口'!$D$4:$D$10003,"unverified")</x:f>
        <x:v>4</x:v>
      </x:c>
      <x:c r="G41" s="2" t="n">
        <x:f>COUNTIFS('副本等级入口'!$D$4:$D$10003,"historical")</x:f>
        <x:v>0</x:v>
      </x:c>
      <x:c r="H41" s="8" t="str">
        <x:v>是</x:v>
      </x:c>
    </x:row>
    <x:row r="42" ht="26" customHeight="1">
      <x:c r="A42" s="2" t="str">
        <x:v>镜像竞技规则</x:v>
      </x:c>
      <x:c r="B42" s="2" t="str">
        <x:v>game_arena_rules</x:v>
      </x:c>
      <x:c r="C42" s="2" t="n">
        <x:f>COUNTA('镜像竞技规则'!$A$4:$A$10003)</x:f>
        <x:v>18</x:v>
      </x:c>
      <x:c r="D42" s="2" t="n">
        <x:f>COUNTIFS('镜像竞技规则'!$D$4:$D$10003,"confirmed")</x:f>
        <x:v>13</x:v>
      </x:c>
      <x:c r="E42" s="2" t="n">
        <x:f>COUNTIFS('镜像竞技规则'!$D$4:$D$10003,"candidate")</x:f>
        <x:v>4</x:v>
      </x:c>
      <x:c r="F42" s="2" t="n">
        <x:f>COUNTIFS('镜像竞技规则'!$D$4:$D$10003,"unverified")</x:f>
        <x:v>1</x:v>
      </x:c>
      <x:c r="G42" s="2" t="n">
        <x:f>COUNTIFS('镜像竞技规则'!$D$4:$D$10003,"historical")</x:f>
        <x:v>0</x:v>
      </x:c>
      <x:c r="H42" s="8" t="str">
        <x:v>是</x:v>
      </x:c>
    </x:row>
    <x:row r="43" ht="26" customHeight="1">
      <x:c r="A43" s="2" t="str">
        <x:v>竞技连胜积分</x:v>
      </x:c>
      <x:c r="B43" s="2" t="str">
        <x:v>game_arena_streak_points</x:v>
      </x:c>
      <x:c r="C43" s="2" t="n">
        <x:f>COUNTA('竞技连胜积分'!$A$4:$A$10003)</x:f>
        <x:v>3</x:v>
      </x:c>
      <x:c r="D43" s="2" t="n">
        <x:f>COUNTIFS('竞技连胜积分'!$D$4:$D$10003,"confirmed")</x:f>
        <x:v>3</x:v>
      </x:c>
      <x:c r="E43" s="2" t="n">
        <x:f>COUNTIFS('竞技连胜积分'!$D$4:$D$10003,"candidate")</x:f>
        <x:v>0</x:v>
      </x:c>
      <x:c r="F43" s="2" t="n">
        <x:f>COUNTIFS('竞技连胜积分'!$D$4:$D$10003,"unverified")</x:f>
        <x:v>0</x:v>
      </x:c>
      <x:c r="G43" s="2" t="n">
        <x:f>COUNTIFS('竞技连胜积分'!$D$4:$D$10003,"historical")</x:f>
        <x:v>0</x:v>
      </x:c>
      <x:c r="H43" s="8" t="str">
        <x:v>是</x:v>
      </x:c>
    </x:row>
    <x:row r="44" ht="26" customHeight="1">
      <x:c r="A44" s="2" t="str">
        <x:v>等级转生与任务规则</x:v>
      </x:c>
      <x:c r="B44" s="2" t="str">
        <x:v>game_progression_rules</x:v>
      </x:c>
      <x:c r="C44" s="2" t="n">
        <x:f>COUNTA('等级转生与任务规则'!$A$4:$A$10003)</x:f>
        <x:v>19</x:v>
      </x:c>
      <x:c r="D44" s="2" t="n">
        <x:f>COUNTIFS('等级转生与任务规则'!$D$4:$D$10003,"confirmed")</x:f>
        <x:v>17</x:v>
      </x:c>
      <x:c r="E44" s="2" t="n">
        <x:f>COUNTIFS('等级转生与任务规则'!$D$4:$D$10003,"candidate")</x:f>
        <x:v>2</x:v>
      </x:c>
      <x:c r="F44" s="2" t="n">
        <x:f>COUNTIFS('等级转生与任务规则'!$D$4:$D$10003,"unverified")</x:f>
        <x:v>0</x:v>
      </x:c>
      <x:c r="G44" s="2" t="n">
        <x:f>COUNTIFS('等级转生与任务规则'!$D$4:$D$10003,"historical")</x:f>
        <x:v>0</x:v>
      </x:c>
      <x:c r="H44" s="8" t="str">
        <x:v>是</x:v>
      </x:c>
    </x:row>
    <x:row r="45" ht="26" customHeight="1">
      <x:c r="A45" s="2" t="str">
        <x:v>魂兽名录</x:v>
      </x:c>
      <x:c r="B45" s="2" t="str">
        <x:v>game_soul_types</x:v>
      </x:c>
      <x:c r="C45" s="2" t="n">
        <x:f>COUNTA('魂兽名录'!$A$4:$A$10003)</x:f>
        <x:v>13</x:v>
      </x:c>
      <x:c r="D45" s="2" t="n">
        <x:f>COUNTIFS('魂兽名录'!$G$4:$G$10003,"confirmed")</x:f>
        <x:v>13</x:v>
      </x:c>
      <x:c r="E45" s="2" t="n">
        <x:f>COUNTIFS('魂兽名录'!$G$4:$G$10003,"candidate")</x:f>
        <x:v>0</x:v>
      </x:c>
      <x:c r="F45" s="2" t="n">
        <x:f>COUNTIFS('魂兽名录'!$G$4:$G$10003,"unverified")</x:f>
        <x:v>0</x:v>
      </x:c>
      <x:c r="G45" s="2" t="n">
        <x:f>COUNTIFS('魂兽名录'!$G$4:$G$10003,"historical")</x:f>
        <x:v>0</x:v>
      </x:c>
      <x:c r="H45" s="8" t="str">
        <x:v>是</x:v>
      </x:c>
    </x:row>
    <x:row r="46" ht="26" customHeight="1">
      <x:c r="A46" s="2" t="str">
        <x:v>魂兽三池词条</x:v>
      </x:c>
      <x:c r="B46" s="2" t="str">
        <x:v>game_soul_affixes</x:v>
      </x:c>
      <x:c r="C46" s="2" t="n">
        <x:f>COUNTA('魂兽三池词条'!$A$4:$A$10003)</x:f>
        <x:v>21</x:v>
      </x:c>
      <x:c r="D46" s="2" t="n">
        <x:f>COUNTIFS('魂兽三池词条'!$H$4:$H$10003,"confirmed")</x:f>
        <x:v>0</x:v>
      </x:c>
      <x:c r="E46" s="2" t="n">
        <x:f>COUNTIFS('魂兽三池词条'!$H$4:$H$10003,"candidate")</x:f>
        <x:v>0</x:v>
      </x:c>
      <x:c r="F46" s="2" t="n">
        <x:f>COUNTIFS('魂兽三池词条'!$H$4:$H$10003,"unverified")</x:f>
        <x:v>21</x:v>
      </x:c>
      <x:c r="G46" s="2" t="n">
        <x:f>COUNTIFS('魂兽三池词条'!$H$4:$H$10003,"historical")</x:f>
        <x:v>0</x:v>
      </x:c>
      <x:c r="H46" s="8" t="str">
        <x:v>是</x:v>
      </x:c>
    </x:row>
    <x:row r="47" ht="26" customHeight="1">
      <x:c r="A47" s="2" t="str">
        <x:v>魂兽勋章翅膀规则</x:v>
      </x:c>
      <x:c r="B47" s="2" t="str">
        <x:v>game_collection_rules</x:v>
      </x:c>
      <x:c r="C47" s="2" t="n">
        <x:f>COUNTA('魂兽勋章翅膀规则'!$A$4:$A$10003)</x:f>
        <x:v>23</x:v>
      </x:c>
      <x:c r="D47" s="2" t="n">
        <x:f>COUNTIFS('魂兽勋章翅膀规则'!$D$4:$D$10003,"confirmed")</x:f>
        <x:v>23</x:v>
      </x:c>
      <x:c r="E47" s="2" t="n">
        <x:f>COUNTIFS('魂兽勋章翅膀规则'!$D$4:$D$10003,"candidate")</x:f>
        <x:v>0</x:v>
      </x:c>
      <x:c r="F47" s="2" t="n">
        <x:f>COUNTIFS('魂兽勋章翅膀规则'!$D$4:$D$10003,"unverified")</x:f>
        <x:v>0</x:v>
      </x:c>
      <x:c r="G47" s="2" t="n">
        <x:f>COUNTIFS('魂兽勋章翅膀规则'!$D$4:$D$10003,"historical")</x:f>
        <x:v>0</x:v>
      </x:c>
      <x:c r="H47" s="8" t="str">
        <x:v>是</x:v>
      </x:c>
    </x:row>
    <x:row r="48" ht="26" customHeight="1">
      <x:c r="A48" s="2" t="str">
        <x:v>翅膀逐阶待定</x:v>
      </x:c>
      <x:c r="B48" s="2" t="str">
        <x:v>game_wing_ranks</x:v>
      </x:c>
      <x:c r="C48" s="2" t="n">
        <x:f>COUNTA('翅膀逐阶待定'!$A$4:$A$10003)</x:f>
        <x:v>10</x:v>
      </x:c>
      <x:c r="D48" s="2" t="n">
        <x:f>COUNTIFS('翅膀逐阶待定'!$F$4:$F$10003,"confirmed")</x:f>
        <x:v>0</x:v>
      </x:c>
      <x:c r="E48" s="2" t="n">
        <x:f>COUNTIFS('翅膀逐阶待定'!$F$4:$F$10003,"candidate")</x:f>
        <x:v>0</x:v>
      </x:c>
      <x:c r="F48" s="2" t="n">
        <x:f>COUNTIFS('翅膀逐阶待定'!$F$4:$F$10003,"unverified")</x:f>
        <x:v>10</x:v>
      </x:c>
      <x:c r="G48" s="2" t="n">
        <x:f>COUNTIFS('翅膀逐阶待定'!$F$4:$F$10003,"historical")</x:f>
        <x:v>0</x:v>
      </x:c>
      <x:c r="H48" s="8" t="str">
        <x:v>是</x:v>
      </x:c>
    </x:row>
    <x:row r="49" ht="26" customHeight="1">
      <x:c r="A49" s="2" t="str">
        <x:v>战令档位候选</x:v>
      </x:c>
      <x:c r="B49" s="2" t="str">
        <x:v>game_battlepass_tiers</x:v>
      </x:c>
      <x:c r="C49" s="2" t="n">
        <x:f>COUNTA('战令档位候选'!$A$4:$A$10003)</x:f>
        <x:v>3</x:v>
      </x:c>
      <x:c r="D49" s="2" t="n">
        <x:f>COUNTIFS('战令档位候选'!$G$4:$G$10003,"confirmed")</x:f>
        <x:v>0</x:v>
      </x:c>
      <x:c r="E49" s="2" t="n">
        <x:f>COUNTIFS('战令档位候选'!$G$4:$G$10003,"candidate")</x:f>
        <x:v>3</x:v>
      </x:c>
      <x:c r="F49" s="2" t="n">
        <x:f>COUNTIFS('战令档位候选'!$G$4:$G$10003,"unverified")</x:f>
        <x:v>0</x:v>
      </x:c>
      <x:c r="G49" s="2" t="n">
        <x:f>COUNTIFS('战令档位候选'!$G$4:$G$10003,"historical")</x:f>
        <x:v>0</x:v>
      </x:c>
      <x:c r="H49" s="8" t="str">
        <x:v>是</x:v>
      </x:c>
    </x:row>
    <x:row r="50" ht="26" customHeight="1">
      <x:c r="A50" s="2" t="str">
        <x:v>战令奖励候选</x:v>
      </x:c>
      <x:c r="B50" s="2" t="str">
        <x:v>game_battlepass_rewards</x:v>
      </x:c>
      <x:c r="C50" s="2" t="n">
        <x:f>COUNTA('战令奖励候选'!$A$4:$A$10003)</x:f>
        <x:v>16</x:v>
      </x:c>
      <x:c r="D50" s="2" t="n">
        <x:f>COUNTIFS('战令奖励候选'!$G$4:$G$10003,"confirmed")</x:f>
        <x:v>0</x:v>
      </x:c>
      <x:c r="E50" s="2" t="n">
        <x:f>COUNTIFS('战令奖励候选'!$G$4:$G$10003,"candidate")</x:f>
        <x:v>16</x:v>
      </x:c>
      <x:c r="F50" s="2" t="n">
        <x:f>COUNTIFS('战令奖励候选'!$G$4:$G$10003,"unverified")</x:f>
        <x:v>0</x:v>
      </x:c>
      <x:c r="G50" s="2" t="n">
        <x:f>COUNTIFS('战令奖励候选'!$G$4:$G$10003,"historical")</x:f>
        <x:v>0</x:v>
      </x:c>
      <x:c r="H50" s="8" t="str">
        <x:v>是</x:v>
      </x:c>
    </x:row>
    <x:row r="51" ht="26" customHeight="1">
      <x:c r="A51" s="2" t="str">
        <x:v>首充与广告候选</x:v>
      </x:c>
      <x:c r="B51" s="2" t="str">
        <x:v>game_commercial_candidates</x:v>
      </x:c>
      <x:c r="C51" s="2" t="n">
        <x:f>COUNTA('首充与广告候选'!$A$4:$A$10003)</x:f>
        <x:v>8</x:v>
      </x:c>
      <x:c r="D51" s="2" t="n">
        <x:f>COUNTIFS('首充与广告候选'!$D$4:$D$10003,"confirmed")</x:f>
        <x:v>6</x:v>
      </x:c>
      <x:c r="E51" s="2" t="n">
        <x:f>COUNTIFS('首充与广告候选'!$D$4:$D$10003,"candidate")</x:f>
        <x:v>2</x:v>
      </x:c>
      <x:c r="F51" s="2" t="n">
        <x:f>COUNTIFS('首充与广告候选'!$D$4:$D$10003,"unverified")</x:f>
        <x:v>0</x:v>
      </x:c>
      <x:c r="G51" s="2" t="n">
        <x:f>COUNTIFS('首充与广告候选'!$D$4:$D$10003,"historical")</x:f>
        <x:v>0</x:v>
      </x:c>
      <x:c r="H51" s="8" t="str">
        <x:v>是</x:v>
      </x:c>
    </x:row>
    <x:row r="52" ht="26" customHeight="1">
      <x:c r="A52" s="2" t="str">
        <x:v>全来源预算候选</x:v>
      </x:c>
      <x:c r="B52" s="2" t="str">
        <x:v>game_attribute_budgets</x:v>
      </x:c>
      <x:c r="C52" s="2" t="n">
        <x:f>COUNTA('全来源预算候选'!$A$4:$A$10003)</x:f>
        <x:v>4</x:v>
      </x:c>
      <x:c r="D52" s="2" t="n">
        <x:f>COUNTIFS('全来源预算候选'!$F$4:$F$10003,"confirmed")</x:f>
        <x:v>0</x:v>
      </x:c>
      <x:c r="E52" s="2" t="n">
        <x:f>COUNTIFS('全来源预算候选'!$F$4:$F$10003,"candidate")</x:f>
        <x:v>4</x:v>
      </x:c>
      <x:c r="F52" s="2" t="n">
        <x:f>COUNTIFS('全来源预算候选'!$F$4:$F$10003,"unverified")</x:f>
        <x:v>0</x:v>
      </x:c>
      <x:c r="G52" s="2" t="n">
        <x:f>COUNTIFS('全来源预算候选'!$F$4:$F$10003,"historical")</x:f>
        <x:v>0</x:v>
      </x:c>
      <x:c r="H52" s="8" t="str">
        <x:v>是</x:v>
      </x:c>
    </x:row>
    <x:row r="53" ht="26" customHeight="1">
      <x:c r="A53" s="2" t="str">
        <x:v>客户端显示与操作</x:v>
      </x:c>
      <x:c r="B53" s="2" t="str">
        <x:v>game_client_presentation</x:v>
      </x:c>
      <x:c r="C53" s="2" t="n">
        <x:f>COUNTA('客户端显示与操作'!$A$4:$A$10003)</x:f>
        <x:v>22</x:v>
      </x:c>
      <x:c r="D53" s="2" t="n">
        <x:f>COUNTIFS('客户端显示与操作'!$D$4:$D$10003,"confirmed")</x:f>
        <x:v>13</x:v>
      </x:c>
      <x:c r="E53" s="2" t="n">
        <x:f>COUNTIFS('客户端显示与操作'!$D$4:$D$10003,"candidate")</x:f>
        <x:v>8</x:v>
      </x:c>
      <x:c r="F53" s="2" t="n">
        <x:f>COUNTIFS('客户端显示与操作'!$D$4:$D$10003,"unverified")</x:f>
        <x:v>1</x:v>
      </x:c>
      <x:c r="G53" s="2" t="n">
        <x:f>COUNTIFS('客户端显示与操作'!$D$4:$D$10003,"historical")</x:f>
        <x:v>0</x:v>
      </x:c>
      <x:c r="H53" s="8" t="str">
        <x:v>是</x:v>
      </x:c>
    </x:row>
    <x:row r="54" ht="26" customHeight="1">
      <x:c r="A54" s="2" t="str">
        <x:v>职业基础与成长</x:v>
      </x:c>
      <x:c r="B54" s="2" t="str">
        <x:v>game_job_growth</x:v>
      </x:c>
      <x:c r="C54" s="2" t="n">
        <x:f>COUNTA('职业基础与成长'!$A$4:$A$10003)</x:f>
        <x:v>0</x:v>
      </x:c>
      <x:c r="D54" s="2" t="n">
        <x:f>COUNTIFS('职业基础与成长'!$S$4:$S$10003,"confirmed")</x:f>
        <x:v>0</x:v>
      </x:c>
      <x:c r="E54" s="2" t="n">
        <x:f>COUNTIFS('职业基础与成长'!$S$4:$S$10003,"candidate")</x:f>
        <x:v>0</x:v>
      </x:c>
      <x:c r="F54" s="2" t="n">
        <x:f>COUNTIFS('职业基础与成长'!$S$4:$S$10003,"unverified")</x:f>
        <x:v>0</x:v>
      </x:c>
      <x:c r="G54" s="2" t="n">
        <x:f>COUNTIFS('职业基础与成长'!$S$4:$S$10003,"historical")</x:f>
        <x:v>0</x:v>
      </x:c>
      <x:c r="H54" s="8" t="str">
        <x:v>是</x:v>
      </x:c>
    </x:row>
    <x:row r="55" ht="26" customHeight="1">
      <x:c r="A55" s="2" t="str">
        <x:v>物品定义</x:v>
      </x:c>
      <x:c r="B55" s="2" t="str">
        <x:v>game_items</x:v>
      </x:c>
      <x:c r="C55" s="2" t="n">
        <x:f>COUNTA('物品定义'!$A$4:$A$10003)</x:f>
        <x:v>25</x:v>
      </x:c>
      <x:c r="D55" s="2" t="n">
        <x:f>COUNTIFS('物品定义'!$K$4:$K$10003,"confirmed")</x:f>
        <x:v>0</x:v>
      </x:c>
      <x:c r="E55" s="2" t="n">
        <x:f>COUNTIFS('物品定义'!$K$4:$K$10003,"candidate")</x:f>
        <x:v>24</x:v>
      </x:c>
      <x:c r="F55" s="2" t="n">
        <x:f>COUNTIFS('物品定义'!$K$4:$K$10003,"unverified")</x:f>
        <x:v>1</x:v>
      </x:c>
      <x:c r="G55" s="2" t="n">
        <x:f>COUNTIFS('物品定义'!$K$4:$K$10003,"historical")</x:f>
        <x:v>0</x:v>
      </x:c>
      <x:c r="H55" s="8" t="str">
        <x:v>是</x:v>
      </x:c>
    </x:row>
    <x:row r="56" ht="26" customHeight="1">
      <x:c r="A56" s="2" t="str">
        <x:v>装备定义</x:v>
      </x:c>
      <x:c r="B56" s="2" t="str">
        <x:v>game_equipment</x:v>
      </x:c>
      <x:c r="C56" s="2" t="n">
        <x:f>COUNTA('装备定义'!$A$4:$A$10003)</x:f>
        <x:v>2</x:v>
      </x:c>
      <x:c r="D56" s="2" t="n">
        <x:f>COUNTIFS('装备定义'!$L$4:$L$10003,"confirmed")</x:f>
        <x:v>0</x:v>
      </x:c>
      <x:c r="E56" s="2" t="n">
        <x:f>COUNTIFS('装备定义'!$L$4:$L$10003,"candidate")</x:f>
        <x:v>2</x:v>
      </x:c>
      <x:c r="F56" s="2" t="n">
        <x:f>COUNTIFS('装备定义'!$L$4:$L$10003,"unverified")</x:f>
        <x:v>0</x:v>
      </x:c>
      <x:c r="G56" s="2" t="n">
        <x:f>COUNTIFS('装备定义'!$L$4:$L$10003,"historical")</x:f>
        <x:v>0</x:v>
      </x:c>
      <x:c r="H56" s="8" t="str">
        <x:v>是</x:v>
      </x:c>
    </x:row>
    <x:row r="57" ht="26" customHeight="1">
      <x:c r="A57" s="2" t="str">
        <x:v>装备外观映射</x:v>
      </x:c>
      <x:c r="B57" s="2" t="str">
        <x:v>game_appearance</x:v>
      </x:c>
      <x:c r="C57" s="2" t="n">
        <x:f>COUNTA('装备外观映射'!$A$4:$A$10003)</x:f>
        <x:v>0</x:v>
      </x:c>
      <x:c r="D57" s="2" t="n">
        <x:f>COUNTIFS('装备外观映射'!$I$4:$I$10003,"confirmed")</x:f>
        <x:v>0</x:v>
      </x:c>
      <x:c r="E57" s="2" t="n">
        <x:f>COUNTIFS('装备外观映射'!$I$4:$I$10003,"candidate")</x:f>
        <x:v>0</x:v>
      </x:c>
      <x:c r="F57" s="2" t="n">
        <x:f>COUNTIFS('装备外观映射'!$I$4:$I$10003,"unverified")</x:f>
        <x:v>0</x:v>
      </x:c>
      <x:c r="G57" s="2" t="n">
        <x:f>COUNTIFS('装备外观映射'!$I$4:$I$10003,"historical")</x:f>
        <x:v>0</x:v>
      </x:c>
      <x:c r="H57" s="8" t="str">
        <x:v>是</x:v>
      </x:c>
    </x:row>
    <x:row r="58" ht="26" customHeight="1">
      <x:c r="A58" s="2" t="str">
        <x:v>怪物定义</x:v>
      </x:c>
      <x:c r="B58" s="2" t="str">
        <x:v>game_monsters</x:v>
      </x:c>
      <x:c r="C58" s="2" t="n">
        <x:f>COUNTA('怪物定义'!$A$4:$A$10003)</x:f>
        <x:v>2</x:v>
      </x:c>
      <x:c r="D58" s="2" t="n">
        <x:f>COUNTIFS('怪物定义'!$P$4:$P$10003,"confirmed")</x:f>
        <x:v>0</x:v>
      </x:c>
      <x:c r="E58" s="2" t="n">
        <x:f>COUNTIFS('怪物定义'!$P$4:$P$10003,"candidate")</x:f>
        <x:v>2</x:v>
      </x:c>
      <x:c r="F58" s="2" t="n">
        <x:f>COUNTIFS('怪物定义'!$P$4:$P$10003,"unverified")</x:f>
        <x:v>0</x:v>
      </x:c>
      <x:c r="G58" s="2" t="n">
        <x:f>COUNTIFS('怪物定义'!$P$4:$P$10003,"historical")</x:f>
        <x:v>0</x:v>
      </x:c>
      <x:c r="H58" s="8" t="str">
        <x:v>是</x:v>
      </x:c>
    </x:row>
    <x:row r="59" ht="26" customHeight="1">
      <x:c r="A59" s="2" t="str">
        <x:v>地图定义</x:v>
      </x:c>
      <x:c r="B59" s="2" t="str">
        <x:v>game_maps</x:v>
      </x:c>
      <x:c r="C59" s="2" t="n">
        <x:f>COUNTA('地图定义'!$A$4:$A$10003)</x:f>
        <x:v>1</x:v>
      </x:c>
      <x:c r="D59" s="2" t="n">
        <x:f>COUNTIFS('地图定义'!$L$4:$L$10003,"confirmed")</x:f>
        <x:v>0</x:v>
      </x:c>
      <x:c r="E59" s="2" t="n">
        <x:f>COUNTIFS('地图定义'!$L$4:$L$10003,"candidate")</x:f>
        <x:v>1</x:v>
      </x:c>
      <x:c r="F59" s="2" t="n">
        <x:f>COUNTIFS('地图定义'!$L$4:$L$10003,"unverified")</x:f>
        <x:v>0</x:v>
      </x:c>
      <x:c r="G59" s="2" t="n">
        <x:f>COUNTIFS('地图定义'!$L$4:$L$10003,"historical")</x:f>
        <x:v>0</x:v>
      </x:c>
      <x:c r="H59" s="8" t="str">
        <x:v>是</x:v>
      </x:c>
    </x:row>
    <x:row r="60" ht="26" customHeight="1">
      <x:c r="A60" s="2" t="str">
        <x:v>地图碰撞</x:v>
      </x:c>
      <x:c r="B60" s="2" t="str">
        <x:v>game_map_collisions</x:v>
      </x:c>
      <x:c r="C60" s="2" t="n">
        <x:f>COUNTA('地图碰撞'!$A$4:$A$10003)</x:f>
        <x:v>1</x:v>
      </x:c>
      <x:c r="D60" s="2" t="n">
        <x:f>COUNTIFS('地图碰撞'!$J$4:$J$10003,"confirmed")</x:f>
        <x:v>0</x:v>
      </x:c>
      <x:c r="E60" s="2" t="n">
        <x:f>COUNTIFS('地图碰撞'!$J$4:$J$10003,"candidate")</x:f>
        <x:v>1</x:v>
      </x:c>
      <x:c r="F60" s="2" t="n">
        <x:f>COUNTIFS('地图碰撞'!$J$4:$J$10003,"unverified")</x:f>
        <x:v>0</x:v>
      </x:c>
      <x:c r="G60" s="2" t="n">
        <x:f>COUNTIFS('地图碰撞'!$J$4:$J$10003,"historical")</x:f>
        <x:v>0</x:v>
      </x:c>
      <x:c r="H60" s="8" t="str">
        <x:v>是</x:v>
      </x:c>
    </x:row>
    <x:row r="61" ht="26" customHeight="1">
      <x:c r="A61" s="2" t="str">
        <x:v>地图区域与NPC</x:v>
      </x:c>
      <x:c r="B61" s="2" t="str">
        <x:v>game_map_regions</x:v>
      </x:c>
      <x:c r="C61" s="2" t="n">
        <x:f>COUNTA('地图区域与NPC'!$A$4:$A$10003)</x:f>
        <x:v>1</x:v>
      </x:c>
      <x:c r="D61" s="2" t="n">
        <x:f>COUNTIFS('地图区域与NPC'!$H$4:$H$10003,"confirmed")</x:f>
        <x:v>0</x:v>
      </x:c>
      <x:c r="E61" s="2" t="n">
        <x:f>COUNTIFS('地图区域与NPC'!$H$4:$H$10003,"candidate")</x:f>
        <x:v>1</x:v>
      </x:c>
      <x:c r="F61" s="2" t="n">
        <x:f>COUNTIFS('地图区域与NPC'!$H$4:$H$10003,"unverified")</x:f>
        <x:v>0</x:v>
      </x:c>
      <x:c r="G61" s="2" t="n">
        <x:f>COUNTIFS('地图区域与NPC'!$H$4:$H$10003,"historical")</x:f>
        <x:v>0</x:v>
      </x:c>
      <x:c r="H61" s="8" t="str">
        <x:v>是</x:v>
      </x:c>
    </x:row>
    <x:row r="62" ht="26" customHeight="1">
      <x:c r="A62" s="2" t="str">
        <x:v>刷怪生成点</x:v>
      </x:c>
      <x:c r="B62" s="2" t="str">
        <x:v>game_monster_spawns</x:v>
      </x:c>
      <x:c r="C62" s="2" t="n">
        <x:f>COUNTA('刷怪生成点'!$A$4:$A$10003)</x:f>
        <x:v>8</x:v>
      </x:c>
      <x:c r="D62" s="2" t="n">
        <x:f>COUNTIFS('刷怪生成点'!$I$4:$I$10003,"confirmed")</x:f>
        <x:v>0</x:v>
      </x:c>
      <x:c r="E62" s="2" t="n">
        <x:f>COUNTIFS('刷怪生成点'!$I$4:$I$10003,"candidate")</x:f>
        <x:v>8</x:v>
      </x:c>
      <x:c r="F62" s="2" t="n">
        <x:f>COUNTIFS('刷怪生成点'!$I$4:$I$10003,"unverified")</x:f>
        <x:v>0</x:v>
      </x:c>
      <x:c r="G62" s="2" t="n">
        <x:f>COUNTIFS('刷怪生成点'!$I$4:$I$10003,"historical")</x:f>
        <x:v>0</x:v>
      </x:c>
      <x:c r="H62" s="8" t="str">
        <x:v>是</x:v>
      </x:c>
    </x:row>
    <x:row r="63" ht="26" customHeight="1">
      <x:c r="A63" s="2" t="str">
        <x:v>NPC功能</x:v>
      </x:c>
      <x:c r="B63" s="2" t="str">
        <x:v>game_npcs</x:v>
      </x:c>
      <x:c r="C63" s="2" t="n">
        <x:f>COUNTA('NPC功能'!$A$4:$A$10003)</x:f>
        <x:v>0</x:v>
      </x:c>
      <x:c r="D63" s="2" t="n">
        <x:f>COUNTIFS('NPC功能'!$H$4:$H$10003,"confirmed")</x:f>
        <x:v>0</x:v>
      </x:c>
      <x:c r="E63" s="2" t="n">
        <x:f>COUNTIFS('NPC功能'!$H$4:$H$10003,"candidate")</x:f>
        <x:v>0</x:v>
      </x:c>
      <x:c r="F63" s="2" t="n">
        <x:f>COUNTIFS('NPC功能'!$H$4:$H$10003,"unverified")</x:f>
        <x:v>0</x:v>
      </x:c>
      <x:c r="G63" s="2" t="n">
        <x:f>COUNTIFS('NPC功能'!$H$4:$H$10003,"historical")</x:f>
        <x:v>0</x:v>
      </x:c>
      <x:c r="H63" s="8" t="str">
        <x:v>是</x:v>
      </x:c>
    </x:row>
    <x:row r="64" ht="26" customHeight="1">
      <x:c r="A64" s="2" t="str">
        <x:v>技能基础定义</x:v>
      </x:c>
      <x:c r="B64" s="2" t="str">
        <x:v>game_skills</x:v>
      </x:c>
      <x:c r="C64" s="2" t="n">
        <x:f>COUNTA('技能基础定义'!$A$4:$A$10003)</x:f>
        <x:v>20</x:v>
      </x:c>
      <x:c r="D64" s="2" t="n">
        <x:f>COUNTIFS('技能基础定义'!$Q$4:$Q$10003,"confirmed")</x:f>
        <x:v>0</x:v>
      </x:c>
      <x:c r="E64" s="2" t="n">
        <x:f>COUNTIFS('技能基础定义'!$Q$4:$Q$10003,"candidate")</x:f>
        <x:v>20</x:v>
      </x:c>
      <x:c r="F64" s="2" t="n">
        <x:f>COUNTIFS('技能基础定义'!$Q$4:$Q$10003,"unverified")</x:f>
        <x:v>0</x:v>
      </x:c>
      <x:c r="G64" s="2" t="n">
        <x:f>COUNTIFS('技能基础定义'!$Q$4:$Q$10003,"historical")</x:f>
        <x:v>0</x:v>
      </x:c>
      <x:c r="H64" s="8" t="str">
        <x:v>是</x:v>
      </x:c>
    </x:row>
    <x:row r="65" ht="26" customHeight="1">
      <x:c r="A65" s="2" t="str">
        <x:v>技能逐级扩展</x:v>
      </x:c>
      <x:c r="B65" s="2" t="str">
        <x:v>game_skill_upgrades</x:v>
      </x:c>
      <x:c r="C65" s="2" t="n">
        <x:f>COUNTA('技能逐级扩展'!$A$4:$A$10003)</x:f>
        <x:v>57</x:v>
      </x:c>
      <x:c r="D65" s="2" t="n">
        <x:f>COUNTIFS('技能逐级扩展'!$H$4:$H$10003,"confirmed")</x:f>
        <x:v>0</x:v>
      </x:c>
      <x:c r="E65" s="2" t="n">
        <x:f>COUNTIFS('技能逐级扩展'!$H$4:$H$10003,"candidate")</x:f>
        <x:v>57</x:v>
      </x:c>
      <x:c r="F65" s="2" t="n">
        <x:f>COUNTIFS('技能逐级扩展'!$H$4:$H$10003,"unverified")</x:f>
        <x:v>0</x:v>
      </x:c>
      <x:c r="G65" s="2" t="n">
        <x:f>COUNTIFS('技能逐级扩展'!$H$4:$H$10003,"historical")</x:f>
        <x:v>0</x:v>
      </x:c>
      <x:c r="H65" s="8" t="str">
        <x:v>是</x:v>
      </x:c>
    </x:row>
    <x:row r="66" ht="26" customHeight="1">
      <x:c r="A66" s="2" t="str">
        <x:v>技能范围格模板</x:v>
      </x:c>
      <x:c r="B66" s="2" t="str">
        <x:v>game_range_patterns</x:v>
      </x:c>
      <x:c r="C66" s="2" t="n">
        <x:f>COUNTA('技能范围格模板'!$A$4:$A$10003)</x:f>
        <x:v>0</x:v>
      </x:c>
      <x:c r="D66" s="2" t="n">
        <x:f>COUNTIFS('技能范围格模板'!$H$4:$H$10003,"confirmed")</x:f>
        <x:v>0</x:v>
      </x:c>
      <x:c r="E66" s="2" t="n">
        <x:f>COUNTIFS('技能范围格模板'!$H$4:$H$10003,"candidate")</x:f>
        <x:v>0</x:v>
      </x:c>
      <x:c r="F66" s="2" t="n">
        <x:f>COUNTIFS('技能范围格模板'!$H$4:$H$10003,"unverified")</x:f>
        <x:v>0</x:v>
      </x:c>
      <x:c r="G66" s="2" t="n">
        <x:f>COUNTIFS('技能范围格模板'!$H$4:$H$10003,"historical")</x:f>
        <x:v>0</x:v>
      </x:c>
      <x:c r="H66" s="8" t="str">
        <x:v>是</x:v>
      </x:c>
    </x:row>
    <x:row r="67" ht="26" customHeight="1">
      <x:c r="A67" s="2" t="str">
        <x:v>Buff定义</x:v>
      </x:c>
      <x:c r="B67" s="2" t="str">
        <x:v>game_buffs</x:v>
      </x:c>
      <x:c r="C67" s="2" t="n">
        <x:f>COUNTA('Buff定义'!$A$4:$A$10003)</x:f>
        <x:v>3</x:v>
      </x:c>
      <x:c r="D67" s="2" t="n">
        <x:f>COUNTIFS('Buff定义'!$J$4:$J$10003,"confirmed")</x:f>
        <x:v>0</x:v>
      </x:c>
      <x:c r="E67" s="2" t="n">
        <x:f>COUNTIFS('Buff定义'!$J$4:$J$10003,"candidate")</x:f>
        <x:v>3</x:v>
      </x:c>
      <x:c r="F67" s="2" t="n">
        <x:f>COUNTIFS('Buff定义'!$J$4:$J$10003,"unverified")</x:f>
        <x:v>0</x:v>
      </x:c>
      <x:c r="G67" s="2" t="n">
        <x:f>COUNTIFS('Buff定义'!$J$4:$J$10003,"historical")</x:f>
        <x:v>0</x:v>
      </x:c>
      <x:c r="H67" s="8" t="str">
        <x:v>是</x:v>
      </x:c>
    </x:row>
    <x:row r="68" ht="26" customHeight="1">
      <x:c r="A68" s="2" t="str">
        <x:v>效果列表</x:v>
      </x:c>
      <x:c r="B68" s="2" t="str">
        <x:v>game_effects</x:v>
      </x:c>
      <x:c r="C68" s="2" t="n">
        <x:f>COUNTA('效果列表'!$A$4:$A$10003)</x:f>
        <x:v>3</x:v>
      </x:c>
      <x:c r="D68" s="2" t="n">
        <x:f>COUNTIFS('效果列表'!$I$4:$I$10003,"confirmed")</x:f>
        <x:v>0</x:v>
      </x:c>
      <x:c r="E68" s="2" t="n">
        <x:f>COUNTIFS('效果列表'!$I$4:$I$10003,"candidate")</x:f>
        <x:v>3</x:v>
      </x:c>
      <x:c r="F68" s="2" t="n">
        <x:f>COUNTIFS('效果列表'!$I$4:$I$10003,"unverified")</x:f>
        <x:v>0</x:v>
      </x:c>
      <x:c r="G68" s="2" t="n">
        <x:f>COUNTIFS('效果列表'!$I$4:$I$10003,"historical")</x:f>
        <x:v>0</x:v>
      </x:c>
      <x:c r="H68" s="8" t="str">
        <x:v>是</x:v>
      </x:c>
    </x:row>
    <x:row r="69" ht="26" customHeight="1">
      <x:c r="A69" s="2" t="str">
        <x:v>职业宠物模板</x:v>
      </x:c>
      <x:c r="B69" s="2" t="str">
        <x:v>game_pet_templates</x:v>
      </x:c>
      <x:c r="C69" s="2" t="n">
        <x:f>COUNTA('职业宠物模板'!$A$4:$A$10003)</x:f>
        <x:v>1</x:v>
      </x:c>
      <x:c r="D69" s="2" t="n">
        <x:f>COUNTIFS('职业宠物模板'!$J$4:$J$10003,"confirmed")</x:f>
        <x:v>0</x:v>
      </x:c>
      <x:c r="E69" s="2" t="n">
        <x:f>COUNTIFS('职业宠物模板'!$J$4:$J$10003,"candidate")</x:f>
        <x:v>1</x:v>
      </x:c>
      <x:c r="F69" s="2" t="n">
        <x:f>COUNTIFS('职业宠物模板'!$J$4:$J$10003,"unverified")</x:f>
        <x:v>0</x:v>
      </x:c>
      <x:c r="G69" s="2" t="n">
        <x:f>COUNTIFS('职业宠物模板'!$J$4:$J$10003,"historical")</x:f>
        <x:v>0</x:v>
      </x:c>
      <x:c r="H69" s="8" t="str">
        <x:v>是</x:v>
      </x:c>
    </x:row>
    <x:row r="70" ht="26" customHeight="1">
      <x:c r="A70" s="2" t="str">
        <x:v>宠物成长</x:v>
      </x:c>
      <x:c r="B70" s="2" t="str">
        <x:v>game_pet_growth</x:v>
      </x:c>
      <x:c r="C70" s="2" t="n">
        <x:f>COUNTA('宠物成长'!$A$4:$A$10003)</x:f>
        <x:v>0</x:v>
      </x:c>
      <x:c r="D70" s="2" t="n">
        <x:f>COUNTIFS('宠物成长'!$F$4:$F$10003,"confirmed")</x:f>
        <x:v>0</x:v>
      </x:c>
      <x:c r="E70" s="2" t="n">
        <x:f>COUNTIFS('宠物成长'!$F$4:$F$10003,"candidate")</x:f>
        <x:v>0</x:v>
      </x:c>
      <x:c r="F70" s="2" t="n">
        <x:f>COUNTIFS('宠物成长'!$F$4:$F$10003,"unverified")</x:f>
        <x:v>0</x:v>
      </x:c>
      <x:c r="G70" s="2" t="n">
        <x:f>COUNTIFS('宠物成长'!$F$4:$F$10003,"historical")</x:f>
        <x:v>0</x:v>
      </x:c>
      <x:c r="H70" s="8" t="str">
        <x:v>是</x:v>
      </x:c>
    </x:row>
    <x:row r="71" ht="26" customHeight="1">
      <x:c r="A71" s="2" t="str">
        <x:v>逐级经验</x:v>
      </x:c>
      <x:c r="B71" s="2" t="str">
        <x:v>game_exp_levels</x:v>
      </x:c>
      <x:c r="C71" s="2" t="n">
        <x:f>COUNTA('逐级经验'!$A$4:$A$10003)</x:f>
        <x:v>20</x:v>
      </x:c>
      <x:c r="D71" s="2" t="n">
        <x:f>COUNTIFS('逐级经验'!$F$4:$F$10003,"confirmed")</x:f>
        <x:v>0</x:v>
      </x:c>
      <x:c r="E71" s="2" t="n">
        <x:f>COUNTIFS('逐级经验'!$F$4:$F$10003,"candidate")</x:f>
        <x:v>20</x:v>
      </x:c>
      <x:c r="F71" s="2" t="n">
        <x:f>COUNTIFS('逐级经验'!$F$4:$F$10003,"unverified")</x:f>
        <x:v>0</x:v>
      </x:c>
      <x:c r="G71" s="2" t="n">
        <x:f>COUNTIFS('逐级经验'!$F$4:$F$10003,"historical")</x:f>
        <x:v>0</x:v>
      </x:c>
      <x:c r="H71" s="8" t="str">
        <x:v>是</x:v>
      </x:c>
    </x:row>
    <x:row r="72" ht="26" customHeight="1">
      <x:c r="A72" s="2" t="str">
        <x:v>转生条件</x:v>
      </x:c>
      <x:c r="B72" s="2" t="str">
        <x:v>game_rebirth_costs</x:v>
      </x:c>
      <x:c r="C72" s="2" t="n">
        <x:f>COUNTA('转生条件'!$A$4:$A$10003)</x:f>
        <x:v>0</x:v>
      </x:c>
      <x:c r="D72" s="2" t="n">
        <x:f>COUNTIFS('转生条件'!$I$4:$I$10003,"confirmed")</x:f>
        <x:v>0</x:v>
      </x:c>
      <x:c r="E72" s="2" t="n">
        <x:f>COUNTIFS('转生条件'!$I$4:$I$10003,"candidate")</x:f>
        <x:v>0</x:v>
      </x:c>
      <x:c r="F72" s="2" t="n">
        <x:f>COUNTIFS('转生条件'!$I$4:$I$10003,"unverified")</x:f>
        <x:v>0</x:v>
      </x:c>
      <x:c r="G72" s="2" t="n">
        <x:f>COUNTIFS('转生条件'!$I$4:$I$10003,"historical")</x:f>
        <x:v>0</x:v>
      </x:c>
      <x:c r="H72" s="8" t="str">
        <x:v>是</x:v>
      </x:c>
    </x:row>
    <x:row r="73" ht="26" customHeight="1">
      <x:c r="A73" s="2" t="str">
        <x:v>掉落池定义</x:v>
      </x:c>
      <x:c r="B73" s="2" t="str">
        <x:v>game_drop_pools</x:v>
      </x:c>
      <x:c r="C73" s="2" t="n">
        <x:f>COUNTA('掉落池定义'!$A$4:$A$10003)</x:f>
        <x:v>3</x:v>
      </x:c>
      <x:c r="D73" s="2" t="n">
        <x:f>COUNTIFS('掉落池定义'!$I$4:$I$10003,"confirmed")</x:f>
        <x:v>0</x:v>
      </x:c>
      <x:c r="E73" s="2" t="n">
        <x:f>COUNTIFS('掉落池定义'!$I$4:$I$10003,"candidate")</x:f>
        <x:v>3</x:v>
      </x:c>
      <x:c r="F73" s="2" t="n">
        <x:f>COUNTIFS('掉落池定义'!$I$4:$I$10003,"unverified")</x:f>
        <x:v>0</x:v>
      </x:c>
      <x:c r="G73" s="2" t="n">
        <x:f>COUNTIFS('掉落池定义'!$I$4:$I$10003,"historical")</x:f>
        <x:v>0</x:v>
      </x:c>
      <x:c r="H73" s="8" t="str">
        <x:v>是</x:v>
      </x:c>
    </x:row>
    <x:row r="74" ht="26" customHeight="1">
      <x:c r="A74" s="2" t="str">
        <x:v>掉落条目</x:v>
      </x:c>
      <x:c r="B74" s="2" t="str">
        <x:v>game_drop_entries</x:v>
      </x:c>
      <x:c r="C74" s="2" t="n">
        <x:f>COUNTA('掉落条目'!$A$4:$A$10003)</x:f>
        <x:v>21</x:v>
      </x:c>
      <x:c r="D74" s="2" t="n">
        <x:f>COUNTIFS('掉落条目'!$I$4:$I$10003,"confirmed")</x:f>
        <x:v>0</x:v>
      </x:c>
      <x:c r="E74" s="2" t="n">
        <x:f>COUNTIFS('掉落条目'!$I$4:$I$10003,"candidate")</x:f>
        <x:v>21</x:v>
      </x:c>
      <x:c r="F74" s="2" t="n">
        <x:f>COUNTIFS('掉落条目'!$I$4:$I$10003,"unverified")</x:f>
        <x:v>0</x:v>
      </x:c>
      <x:c r="G74" s="2" t="n">
        <x:f>COUNTIFS('掉落条目'!$I$4:$I$10003,"historical")</x:f>
        <x:v>0</x:v>
      </x:c>
      <x:c r="H74" s="8" t="str">
        <x:v>是</x:v>
      </x:c>
    </x:row>
    <x:row r="75" ht="26" customHeight="1">
      <x:c r="A75" s="2" t="str">
        <x:v>高品质随机掉落额度</x:v>
      </x:c>
      <x:c r="B75" s="2" t="str">
        <x:v>game_drop_quotas</x:v>
      </x:c>
      <x:c r="C75" s="2" t="n">
        <x:f>COUNTA('高品质随机掉落额度'!$A$4:$A$10003)</x:f>
        <x:v>0</x:v>
      </x:c>
      <x:c r="D75" s="2" t="n">
        <x:f>COUNTIFS('高品质随机掉落额度'!$I$4:$I$10003,"confirmed")</x:f>
        <x:v>0</x:v>
      </x:c>
      <x:c r="E75" s="2" t="n">
        <x:f>COUNTIFS('高品质随机掉落额度'!$I$4:$I$10003,"candidate")</x:f>
        <x:v>0</x:v>
      </x:c>
      <x:c r="F75" s="2" t="n">
        <x:f>COUNTIFS('高品质随机掉落额度'!$I$4:$I$10003,"unverified")</x:f>
        <x:v>0</x:v>
      </x:c>
      <x:c r="G75" s="2" t="n">
        <x:f>COUNTIFS('高品质随机掉落额度'!$I$4:$I$10003,"historical")</x:f>
        <x:v>0</x:v>
      </x:c>
      <x:c r="H75" s="8" t="str">
        <x:v>是</x:v>
      </x:c>
    </x:row>
    <x:row r="76" ht="26" customHeight="1">
      <x:c r="A76" s="2" t="str">
        <x:v>装备分解金币与副产物</x:v>
      </x:c>
      <x:c r="B76" s="2" t="str">
        <x:v>game_recycle_values</x:v>
      </x:c>
      <x:c r="C76" s="2" t="n">
        <x:f>COUNTA('装备分解金币与副产物'!$A$4:$A$10003)</x:f>
        <x:v>1</x:v>
      </x:c>
      <x:c r="D76" s="2" t="n">
        <x:f>COUNTIFS('装备分解金币与副产物'!$J$4:$J$10003,"confirmed")</x:f>
        <x:v>0</x:v>
      </x:c>
      <x:c r="E76" s="2" t="n">
        <x:f>COUNTIFS('装备分解金币与副产物'!$J$4:$J$10003,"candidate")</x:f>
        <x:v>1</x:v>
      </x:c>
      <x:c r="F76" s="2" t="n">
        <x:f>COUNTIFS('装备分解金币与副产物'!$J$4:$J$10003,"unverified")</x:f>
        <x:v>0</x:v>
      </x:c>
      <x:c r="G76" s="2" t="n">
        <x:f>COUNTIFS('装备分解金币与副产物'!$J$4:$J$10003,"historical")</x:f>
        <x:v>0</x:v>
      </x:c>
      <x:c r="H76" s="8" t="str">
        <x:v>是</x:v>
      </x:c>
    </x:row>
    <x:row r="77" ht="26" customHeight="1">
      <x:c r="A77" s="2" t="str">
        <x:v>词条阶段基数与上限</x:v>
      </x:c>
      <x:c r="B77" s="2" t="str">
        <x:v>game_refine_values</x:v>
      </x:c>
      <x:c r="C77" s="2" t="n">
        <x:f>COUNTA('词条阶段基数与上限'!$A$4:$A$10003)</x:f>
        <x:v>0</x:v>
      </x:c>
      <x:c r="D77" s="2" t="n">
        <x:f>COUNTIFS('词条阶段基数与上限'!$I$4:$I$10003,"confirmed")</x:f>
        <x:v>0</x:v>
      </x:c>
      <x:c r="E77" s="2" t="n">
        <x:f>COUNTIFS('词条阶段基数与上限'!$I$4:$I$10003,"candidate")</x:f>
        <x:v>0</x:v>
      </x:c>
      <x:c r="F77" s="2" t="n">
        <x:f>COUNTIFS('词条阶段基数与上限'!$I$4:$I$10003,"unverified")</x:f>
        <x:v>0</x:v>
      </x:c>
      <x:c r="G77" s="2" t="n">
        <x:f>COUNTIFS('词条阶段基数与上限'!$I$4:$I$10003,"historical")</x:f>
        <x:v>0</x:v>
      </x:c>
      <x:c r="H77" s="8" t="str">
        <x:v>是</x:v>
      </x:c>
    </x:row>
    <x:row r="78" ht="26" customHeight="1">
      <x:c r="A78" s="2" t="str">
        <x:v>锄头工具</x:v>
      </x:c>
      <x:c r="B78" s="2" t="str">
        <x:v>game_pickaxes</x:v>
      </x:c>
      <x:c r="C78" s="2" t="n">
        <x:f>COUNTA('锄头工具'!$A$4:$A$10003)</x:f>
        <x:v>0</x:v>
      </x:c>
      <x:c r="D78" s="2" t="n">
        <x:f>COUNTIFS('锄头工具'!$G$4:$G$10003,"confirmed")</x:f>
        <x:v>0</x:v>
      </x:c>
      <x:c r="E78" s="2" t="n">
        <x:f>COUNTIFS('锄头工具'!$G$4:$G$10003,"candidate")</x:f>
        <x:v>0</x:v>
      </x:c>
      <x:c r="F78" s="2" t="n">
        <x:f>COUNTIFS('锄头工具'!$G$4:$G$10003,"unverified")</x:f>
        <x:v>0</x:v>
      </x:c>
      <x:c r="G78" s="2" t="n">
        <x:f>COUNTIFS('锄头工具'!$G$4:$G$10003,"historical")</x:f>
        <x:v>0</x:v>
      </x:c>
      <x:c r="H78" s="8" t="str">
        <x:v>是</x:v>
      </x:c>
    </x:row>
    <x:row r="79" ht="26" customHeight="1">
      <x:c r="A79" s="2" t="str">
        <x:v>图纸打造配方</x:v>
      </x:c>
      <x:c r="B79" s="2" t="str">
        <x:v>game_craft_recipes</x:v>
      </x:c>
      <x:c r="C79" s="2" t="n">
        <x:f>COUNTA('图纸打造配方'!$A$4:$A$10003)</x:f>
        <x:v>0</x:v>
      </x:c>
      <x:c r="D79" s="2" t="n">
        <x:f>COUNTIFS('图纸打造配方'!$L$4:$L$10003,"confirmed")</x:f>
        <x:v>0</x:v>
      </x:c>
      <x:c r="E79" s="2" t="n">
        <x:f>COUNTIFS('图纸打造配方'!$L$4:$L$10003,"candidate")</x:f>
        <x:v>0</x:v>
      </x:c>
      <x:c r="F79" s="2" t="n">
        <x:f>COUNTIFS('图纸打造配方'!$L$4:$L$10003,"unverified")</x:f>
        <x:v>0</x:v>
      </x:c>
      <x:c r="G79" s="2" t="n">
        <x:f>COUNTIFS('图纸打造配方'!$L$4:$L$10003,"historical")</x:f>
        <x:v>0</x:v>
      </x:c>
      <x:c r="H79" s="8" t="str">
        <x:v>是</x:v>
      </x:c>
    </x:row>
    <x:row r="80" ht="26" customHeight="1">
      <x:c r="A80" s="2" t="str">
        <x:v>修理配方</x:v>
      </x:c>
      <x:c r="B80" s="2" t="str">
        <x:v>game_repair_prices</x:v>
      </x:c>
      <x:c r="C80" s="2" t="n">
        <x:f>COUNTA('修理配方'!$A$4:$A$10003)</x:f>
        <x:v>0</x:v>
      </x:c>
      <x:c r="D80" s="2" t="n">
        <x:f>COUNTIFS('修理配方'!$I$4:$I$10003,"confirmed")</x:f>
        <x:v>0</x:v>
      </x:c>
      <x:c r="E80" s="2" t="n">
        <x:f>COUNTIFS('修理配方'!$I$4:$I$10003,"candidate")</x:f>
        <x:v>0</x:v>
      </x:c>
      <x:c r="F80" s="2" t="n">
        <x:f>COUNTIFS('修理配方'!$I$4:$I$10003,"unverified")</x:f>
        <x:v>0</x:v>
      </x:c>
      <x:c r="G80" s="2" t="n">
        <x:f>COUNTIFS('修理配方'!$I$4:$I$10003,"historical")</x:f>
        <x:v>0</x:v>
      </x:c>
      <x:c r="H80" s="8" t="str">
        <x:v>是</x:v>
      </x:c>
    </x:row>
    <x:row r="81" ht="26" customHeight="1">
      <x:c r="A81" s="2" t="str">
        <x:v>BOSS与场次模板</x:v>
      </x:c>
      <x:c r="B81" s="2" t="str">
        <x:v>game_boss_templates</x:v>
      </x:c>
      <x:c r="C81" s="2" t="n">
        <x:f>COUNTA('BOSS与场次模板'!$A$4:$A$10003)</x:f>
        <x:v>0</x:v>
      </x:c>
      <x:c r="D81" s="2" t="n">
        <x:f>COUNTIFS('BOSS与场次模板'!$K$4:$K$10003,"confirmed")</x:f>
        <x:v>0</x:v>
      </x:c>
      <x:c r="E81" s="2" t="n">
        <x:f>COUNTIFS('BOSS与场次模板'!$K$4:$K$10003,"candidate")</x:f>
        <x:v>0</x:v>
      </x:c>
      <x:c r="F81" s="2" t="n">
        <x:f>COUNTIFS('BOSS与场次模板'!$K$4:$K$10003,"unverified")</x:f>
        <x:v>0</x:v>
      </x:c>
      <x:c r="G81" s="2" t="n">
        <x:f>COUNTIFS('BOSS与场次模板'!$K$4:$K$10003,"historical")</x:f>
        <x:v>0</x:v>
      </x:c>
      <x:c r="H81" s="8" t="str">
        <x:v>是</x:v>
      </x:c>
    </x:row>
    <x:row r="82" ht="26" customHeight="1">
      <x:c r="A82" s="2" t="str">
        <x:v>讨伐链模板</x:v>
      </x:c>
      <x:c r="B82" s="2" t="str">
        <x:v>game_dungeon_templates</x:v>
      </x:c>
      <x:c r="C82" s="2" t="n">
        <x:f>COUNTA('讨伐链模板'!$A$4:$A$10003)</x:f>
        <x:v>0</x:v>
      </x:c>
      <x:c r="D82" s="2" t="n">
        <x:f>COUNTIFS('讨伐链模板'!$I$4:$I$10003,"confirmed")</x:f>
        <x:v>0</x:v>
      </x:c>
      <x:c r="E82" s="2" t="n">
        <x:f>COUNTIFS('讨伐链模板'!$I$4:$I$10003,"candidate")</x:f>
        <x:v>0</x:v>
      </x:c>
      <x:c r="F82" s="2" t="n">
        <x:f>COUNTIFS('讨伐链模板'!$I$4:$I$10003,"unverified")</x:f>
        <x:v>0</x:v>
      </x:c>
      <x:c r="G82" s="2" t="n">
        <x:f>COUNTIFS('讨伐链模板'!$I$4:$I$10003,"historical")</x:f>
        <x:v>0</x:v>
      </x:c>
      <x:c r="H82" s="8" t="str">
        <x:v>是</x:v>
      </x:c>
    </x:row>
    <x:row r="83" ht="26" customHeight="1">
      <x:c r="A83" s="2" t="str">
        <x:v>竞技赛季奖励与兑换</x:v>
      </x:c>
      <x:c r="B83" s="2" t="str">
        <x:v>game_arena_rewards</x:v>
      </x:c>
      <x:c r="C83" s="2" t="n">
        <x:f>COUNTA('竞技赛季奖励与兑换'!$A$4:$A$10003)</x:f>
        <x:v>0</x:v>
      </x:c>
      <x:c r="D83" s="2" t="n">
        <x:f>COUNTIFS('竞技赛季奖励与兑换'!$H$4:$H$10003,"confirmed")</x:f>
        <x:v>0</x:v>
      </x:c>
      <x:c r="E83" s="2" t="n">
        <x:f>COUNTIFS('竞技赛季奖励与兑换'!$H$4:$H$10003,"candidate")</x:f>
        <x:v>0</x:v>
      </x:c>
      <x:c r="F83" s="2" t="n">
        <x:f>COUNTIFS('竞技赛季奖励与兑换'!$H$4:$H$10003,"unverified")</x:f>
        <x:v>0</x:v>
      </x:c>
      <x:c r="G83" s="2" t="n">
        <x:f>COUNTIFS('竞技赛季奖励与兑换'!$H$4:$H$10003,"historical")</x:f>
        <x:v>0</x:v>
      </x:c>
      <x:c r="H83" s="8" t="str">
        <x:v>是</x:v>
      </x:c>
    </x:row>
    <x:row r="84" ht="26" customHeight="1">
      <x:c r="A84" s="2" t="str">
        <x:v>主线任务</x:v>
      </x:c>
      <x:c r="B84" s="2" t="str">
        <x:v>game_quests</x:v>
      </x:c>
      <x:c r="C84" s="2" t="n">
        <x:f>COUNTA('主线任务'!$A$4:$A$10003)</x:f>
        <x:v>0</x:v>
      </x:c>
      <x:c r="D84" s="2" t="n">
        <x:f>COUNTIFS('主线任务'!$H$4:$H$10003,"confirmed")</x:f>
        <x:v>0</x:v>
      </x:c>
      <x:c r="E84" s="2" t="n">
        <x:f>COUNTIFS('主线任务'!$H$4:$H$10003,"candidate")</x:f>
        <x:v>0</x:v>
      </x:c>
      <x:c r="F84" s="2" t="n">
        <x:f>COUNTIFS('主线任务'!$H$4:$H$10003,"unverified")</x:f>
        <x:v>0</x:v>
      </x:c>
      <x:c r="G84" s="2" t="n">
        <x:f>COUNTIFS('主线任务'!$H$4:$H$10003,"historical")</x:f>
        <x:v>0</x:v>
      </x:c>
      <x:c r="H84" s="8" t="str">
        <x:v>是</x:v>
      </x:c>
    </x:row>
    <x:row r="85" ht="26" customHeight="1">
      <x:c r="A85" s="2" t="str">
        <x:v>每日任务池</x:v>
      </x:c>
      <x:c r="B85" s="2" t="str">
        <x:v>game_daily_tasks</x:v>
      </x:c>
      <x:c r="C85" s="2" t="n">
        <x:f>COUNTA('每日任务池'!$A$4:$A$10003)</x:f>
        <x:v>0</x:v>
      </x:c>
      <x:c r="D85" s="2" t="n">
        <x:f>COUNTIFS('每日任务池'!$H$4:$H$10003,"confirmed")</x:f>
        <x:v>0</x:v>
      </x:c>
      <x:c r="E85" s="2" t="n">
        <x:f>COUNTIFS('每日任务池'!$H$4:$H$10003,"candidate")</x:f>
        <x:v>0</x:v>
      </x:c>
      <x:c r="F85" s="2" t="n">
        <x:f>COUNTIFS('每日任务池'!$H$4:$H$10003,"unverified")</x:f>
        <x:v>0</x:v>
      </x:c>
      <x:c r="G85" s="2" t="n">
        <x:f>COUNTIFS('每日任务池'!$H$4:$H$10003,"historical")</x:f>
        <x:v>0</x:v>
      </x:c>
      <x:c r="H85" s="8" t="str">
        <x:v>是</x:v>
      </x:c>
    </x:row>
    <x:row r="86" ht="26" customHeight="1">
      <x:c r="A86" s="2" t="str">
        <x:v>永久成就</x:v>
      </x:c>
      <x:c r="B86" s="2" t="str">
        <x:v>game_achievements</x:v>
      </x:c>
      <x:c r="C86" s="2" t="n">
        <x:f>COUNTA('永久成就'!$A$4:$A$10003)</x:f>
        <x:v>0</x:v>
      </x:c>
      <x:c r="D86" s="2" t="n">
        <x:f>COUNTIFS('永久成就'!$F$4:$F$10003,"confirmed")</x:f>
        <x:v>0</x:v>
      </x:c>
      <x:c r="E86" s="2" t="n">
        <x:f>COUNTIFS('永久成就'!$F$4:$F$10003,"candidate")</x:f>
        <x:v>0</x:v>
      </x:c>
      <x:c r="F86" s="2" t="n">
        <x:f>COUNTIFS('永久成就'!$F$4:$F$10003,"unverified")</x:f>
        <x:v>0</x:v>
      </x:c>
      <x:c r="G86" s="2" t="n">
        <x:f>COUNTIFS('永久成就'!$F$4:$F$10003,"historical")</x:f>
        <x:v>0</x:v>
      </x:c>
      <x:c r="H86" s="8" t="str">
        <x:v>是</x:v>
      </x:c>
    </x:row>
    <x:row r="87" ht="26" customHeight="1">
      <x:c r="A87" s="2" t="str">
        <x:v>怪物图鉴条目</x:v>
      </x:c>
      <x:c r="B87" s="2" t="str">
        <x:v>game_codex</x:v>
      </x:c>
      <x:c r="C87" s="2" t="n">
        <x:f>COUNTA('怪物图鉴条目'!$A$4:$A$10003)</x:f>
        <x:v>0</x:v>
      </x:c>
      <x:c r="D87" s="2" t="n">
        <x:f>COUNTIFS('怪物图鉴条目'!$H$4:$H$10003,"confirmed")</x:f>
        <x:v>0</x:v>
      </x:c>
      <x:c r="E87" s="2" t="n">
        <x:f>COUNTIFS('怪物图鉴条目'!$H$4:$H$10003,"candidate")</x:f>
        <x:v>0</x:v>
      </x:c>
      <x:c r="F87" s="2" t="n">
        <x:f>COUNTIFS('怪物图鉴条目'!$H$4:$H$10003,"unverified")</x:f>
        <x:v>0</x:v>
      </x:c>
      <x:c r="G87" s="2" t="n">
        <x:f>COUNTIFS('怪物图鉴条目'!$H$4:$H$10003,"historical")</x:f>
        <x:v>0</x:v>
      </x:c>
      <x:c r="H87" s="8" t="str">
        <x:v>是</x:v>
      </x:c>
    </x:row>
    <x:row r="88" ht="26" customHeight="1">
      <x:c r="A88" s="2" t="str">
        <x:v>魂兽逐星价值与消耗</x:v>
      </x:c>
      <x:c r="B88" s="2" t="str">
        <x:v>game_soul_stars</x:v>
      </x:c>
      <x:c r="C88" s="2" t="n">
        <x:f>COUNTA('魂兽逐星价值与消耗'!$A$4:$A$10003)</x:f>
        <x:v>0</x:v>
      </x:c>
      <x:c r="D88" s="2" t="n">
        <x:f>COUNTIFS('魂兽逐星价值与消耗'!$I$4:$I$10003,"confirmed")</x:f>
        <x:v>0</x:v>
      </x:c>
      <x:c r="E88" s="2" t="n">
        <x:f>COUNTIFS('魂兽逐星价值与消耗'!$I$4:$I$10003,"candidate")</x:f>
        <x:v>0</x:v>
      </x:c>
      <x:c r="F88" s="2" t="n">
        <x:f>COUNTIFS('魂兽逐星价值与消耗'!$I$4:$I$10003,"unverified")</x:f>
        <x:v>0</x:v>
      </x:c>
      <x:c r="G88" s="2" t="n">
        <x:f>COUNTIFS('魂兽逐星价值与消耗'!$I$4:$I$10003,"historical")</x:f>
        <x:v>0</x:v>
      </x:c>
      <x:c r="H88" s="8" t="str">
        <x:v>是</x:v>
      </x:c>
    </x:row>
    <x:row r="89" ht="26" customHeight="1">
      <x:c r="A89" s="2" t="str">
        <x:v>勋章逐级配置</x:v>
      </x:c>
      <x:c r="B89" s="2" t="str">
        <x:v>game_medal_levels</x:v>
      </x:c>
      <x:c r="C89" s="2" t="n">
        <x:f>COUNTA('勋章逐级配置'!$A$4:$A$10003)</x:f>
        <x:v>0</x:v>
      </x:c>
      <x:c r="D89" s="2" t="n">
        <x:f>COUNTIFS('勋章逐级配置'!$F$4:$F$10003,"confirmed")</x:f>
        <x:v>0</x:v>
      </x:c>
      <x:c r="E89" s="2" t="n">
        <x:f>COUNTIFS('勋章逐级配置'!$F$4:$F$10003,"candidate")</x:f>
        <x:v>0</x:v>
      </x:c>
      <x:c r="F89" s="2" t="n">
        <x:f>COUNTIFS('勋章逐级配置'!$F$4:$F$10003,"unverified")</x:f>
        <x:v>0</x:v>
      </x:c>
      <x:c r="G89" s="2" t="n">
        <x:f>COUNTIFS('勋章逐级配置'!$F$4:$F$10003,"historical")</x:f>
        <x:v>0</x:v>
      </x:c>
      <x:c r="H89" s="8" t="str">
        <x:v>是</x:v>
      </x:c>
    </x:row>
    <x:row r="90" ht="26" customHeight="1">
      <x:c r="A90" s="2" t="str">
        <x:v>奖励组定义</x:v>
      </x:c>
      <x:c r="B90" s="2" t="str">
        <x:v>game_reward_groups</x:v>
      </x:c>
      <x:c r="C90" s="2" t="n">
        <x:f>COUNTA('奖励组定义'!$A$4:$A$10003)</x:f>
        <x:v>0</x:v>
      </x:c>
      <x:c r="D90" s="2" t="n">
        <x:f>COUNTIFS('奖励组定义'!$G$4:$G$10003,"confirmed")</x:f>
        <x:v>0</x:v>
      </x:c>
      <x:c r="E90" s="2" t="n">
        <x:f>COUNTIFS('奖励组定义'!$G$4:$G$10003,"candidate")</x:f>
        <x:v>0</x:v>
      </x:c>
      <x:c r="F90" s="2" t="n">
        <x:f>COUNTIFS('奖励组定义'!$G$4:$G$10003,"unverified")</x:f>
        <x:v>0</x:v>
      </x:c>
      <x:c r="G90" s="2" t="n">
        <x:f>COUNTIFS('奖励组定义'!$G$4:$G$10003,"historical")</x:f>
        <x:v>0</x:v>
      </x:c>
      <x:c r="H90" s="8" t="str">
        <x:v>是</x:v>
      </x:c>
    </x:row>
    <x:row r="91" ht="26" customHeight="1">
      <x:c r="A91" s="2" t="str">
        <x:v>奖励组条目</x:v>
      </x:c>
      <x:c r="B91" s="2" t="str">
        <x:v>game_reward_entries</x:v>
      </x:c>
      <x:c r="C91" s="2" t="n">
        <x:f>COUNTA('奖励组条目'!$A$4:$A$10003)</x:f>
        <x:v>0</x:v>
      </x:c>
      <x:c r="D91" s="2" t="n">
        <x:f>COUNTIFS('奖励组条目'!$G$4:$G$10003,"confirmed")</x:f>
        <x:v>0</x:v>
      </x:c>
      <x:c r="E91" s="2" t="n">
        <x:f>COUNTIFS('奖励组条目'!$G$4:$G$10003,"candidate")</x:f>
        <x:v>0</x:v>
      </x:c>
      <x:c r="F91" s="2" t="n">
        <x:f>COUNTIFS('奖励组条目'!$G$4:$G$10003,"unverified")</x:f>
        <x:v>0</x:v>
      </x:c>
      <x:c r="G91" s="2" t="n">
        <x:f>COUNTIFS('奖励组条目'!$G$4:$G$10003,"historical")</x:f>
        <x:v>0</x:v>
      </x:c>
      <x:c r="H91" s="8" t="str">
        <x:v>是</x:v>
      </x:c>
    </x:row>
    <x:row r="92" ht="26" customHeight="1">
      <x:c r="A92" s="2" t="str">
        <x:v>系统邮件模板</x:v>
      </x:c>
      <x:c r="B92" s="2" t="str">
        <x:v>game_system_mail</x:v>
      </x:c>
      <x:c r="C92" s="2" t="n">
        <x:f>COUNTA('系统邮件模板'!$A$4:$A$10003)</x:f>
        <x:v>0</x:v>
      </x:c>
      <x:c r="D92" s="2" t="n">
        <x:f>COUNTIFS('系统邮件模板'!$G$4:$G$10003,"confirmed")</x:f>
        <x:v>0</x:v>
      </x:c>
      <x:c r="E92" s="2" t="n">
        <x:f>COUNTIFS('系统邮件模板'!$G$4:$G$10003,"candidate")</x:f>
        <x:v>0</x:v>
      </x:c>
      <x:c r="F92" s="2" t="n">
        <x:f>COUNTIFS('系统邮件模板'!$G$4:$G$10003,"unverified")</x:f>
        <x:v>0</x:v>
      </x:c>
      <x:c r="G92" s="2" t="n">
        <x:f>COUNTIFS('系统邮件模板'!$G$4:$G$10003,"historical")</x:f>
        <x:v>0</x:v>
      </x:c>
      <x:c r="H92" s="8" t="str">
        <x:v>是</x:v>
      </x:c>
    </x:row>
    <x:row r="93" ht="26" customHeight="1">
      <x:c r="A93" s="2" t="str">
        <x:v>属性单位与结算管线</x:v>
      </x:c>
      <x:c r="B93" s="2" t="str">
        <x:v>game_attribute_pipeline</x:v>
      </x:c>
      <x:c r="C93" s="2" t="n">
        <x:f>COUNTA('属性单位与结算管线'!$A$4:$A$10003)</x:f>
        <x:v>0</x:v>
      </x:c>
      <x:c r="D93" s="2" t="n">
        <x:f>COUNTIFS('属性单位与结算管线'!$M$4:$M$10003,"confirmed")</x:f>
        <x:v>0</x:v>
      </x:c>
      <x:c r="E93" s="2" t="n">
        <x:f>COUNTIFS('属性单位与结算管线'!$M$4:$M$10003,"candidate")</x:f>
        <x:v>0</x:v>
      </x:c>
      <x:c r="F93" s="2" t="n">
        <x:f>COUNTIFS('属性单位与结算管线'!$M$4:$M$10003,"unverified")</x:f>
        <x:v>0</x:v>
      </x:c>
      <x:c r="G93" s="2" t="n">
        <x:f>COUNTIFS('属性单位与结算管线'!$M$4:$M$10003,"historical")</x:f>
        <x:v>0</x:v>
      </x:c>
      <x:c r="H93" s="8" t="str">
        <x:v>是</x:v>
      </x:c>
    </x:row>
    <x:row r="94" ht="26" customHeight="1">
      <x:c r="A94" s="2" t="str">
        <x:v>历史七档行为样本</x:v>
      </x:c>
      <x:c r="B94" s="2" t="str">
        <x:v>history_player_profiles</x:v>
      </x:c>
      <x:c r="C94" s="2" t="n">
        <x:f>COUNTA('历史七档行为样本'!$A$4:$A$10003)</x:f>
        <x:v>7</x:v>
      </x:c>
      <x:c r="D94" s="2" t="n">
        <x:f>COUNTIFS('历史七档行为样本'!$H$4:$H$10003,"confirmed")</x:f>
        <x:v>0</x:v>
      </x:c>
      <x:c r="E94" s="2" t="n">
        <x:f>COUNTIFS('历史七档行为样本'!$H$4:$H$10003,"candidate")</x:f>
        <x:v>0</x:v>
      </x:c>
      <x:c r="F94" s="2" t="n">
        <x:f>COUNTIFS('历史七档行为样本'!$H$4:$H$10003,"unverified")</x:f>
        <x:v>0</x:v>
      </x:c>
      <x:c r="G94" s="2" t="n">
        <x:f>COUNTIFS('历史七档行为样本'!$H$4:$H$10003,"historical")</x:f>
        <x:v>7</x:v>
      </x:c>
      <x:c r="H94" s="8" t="str">
        <x:v>否</x:v>
      </x:c>
    </x:row>
    <x:row r="95" ht="26" customHeight="1">
      <x:c r="A95" s="2" t="str">
        <x:v>历史样本隔离</x:v>
      </x:c>
      <x:c r="B95" s="2" t="str">
        <x:v>history_economy_inputs</x:v>
      </x:c>
      <x:c r="C95" s="2" t="n">
        <x:f>COUNTA('历史样本隔离'!$A$4:$A$10003)</x:f>
        <x:v>29</x:v>
      </x:c>
      <x:c r="D95" s="2" t="n">
        <x:f>COUNTIFS('历史样本隔离'!$D$4:$D$10003,"confirmed")</x:f>
        <x:v>0</x:v>
      </x:c>
      <x:c r="E95" s="2" t="n">
        <x:f>COUNTIFS('历史样本隔离'!$D$4:$D$10003,"candidate")</x:f>
        <x:v>0</x:v>
      </x:c>
      <x:c r="F95" s="2" t="n">
        <x:f>COUNTIFS('历史样本隔离'!$D$4:$D$10003,"unverified")</x:f>
        <x:v>0</x:v>
      </x:c>
      <x:c r="G95" s="2" t="n">
        <x:f>COUNTIFS('历史样本隔离'!$D$4:$D$10003,"historical")</x:f>
        <x:v>29</x:v>
      </x:c>
      <x:c r="H95" s="8" t="str">
        <x:v>否</x:v>
      </x:c>
    </x:row>
    <x:row r="96" ht="26" customHeight="1">
      <x:c r="A96" s="2" t="str">
        <x:v>服务端权威规则</x:v>
      </x:c>
      <x:c r="B96" s="2" t="str">
        <x:v>game_server_rules</x:v>
      </x:c>
      <x:c r="C96" s="2" t="n">
        <x:f>COUNTA('服务端权威规则'!$A$4:$A$10003)</x:f>
        <x:v>28</x:v>
      </x:c>
      <x:c r="D96" s="2" t="n">
        <x:f>COUNTIFS('服务端权威规则'!$D$4:$D$10003,"confirmed")</x:f>
        <x:v>25</x:v>
      </x:c>
      <x:c r="E96" s="2" t="n">
        <x:f>COUNTIFS('服务端权威规则'!$D$4:$D$10003,"candidate")</x:f>
        <x:v>2</x:v>
      </x:c>
      <x:c r="F96" s="2" t="n">
        <x:f>COUNTIFS('服务端权威规则'!$D$4:$D$10003,"unverified")</x:f>
        <x:v>1</x:v>
      </x:c>
      <x:c r="G96" s="2" t="n">
        <x:f>COUNTIFS('服务端权威规则'!$D$4:$D$10003,"historical")</x:f>
        <x:v>0</x:v>
      </x:c>
      <x:c r="H96" s="8" t="str">
        <x:v>是</x:v>
      </x:c>
    </x:row>
    <x:row r="97" ht="26" customHeight="1">
      <x:c r="A97" s="2" t="str">
        <x:v>开发首循环夹具</x:v>
      </x:c>
      <x:c r="B97" s="2" t="str">
        <x:v>dev_first_loop_profile</x:v>
      </x:c>
      <x:c r="C97" s="2" t="n">
        <x:f>COUNTA('开发首循环夹具'!$A$4:$A$10003)</x:f>
        <x:v>1</x:v>
      </x:c>
      <x:c r="D97" s="2" t="n">
        <x:f>COUNTIFS('开发首循环夹具'!$D$4:$D$10003,"confirmed")</x:f>
        <x:v>0</x:v>
      </x:c>
      <x:c r="E97" s="2" t="n">
        <x:f>COUNTIFS('开发首循环夹具'!$D$4:$D$10003,"candidate")</x:f>
        <x:v>1</x:v>
      </x:c>
      <x:c r="F97" s="2" t="n">
        <x:f>COUNTIFS('开发首循环夹具'!$D$4:$D$10003,"unverified")</x:f>
        <x:v>0</x:v>
      </x:c>
      <x:c r="G97" s="2" t="n">
        <x:f>COUNTIFS('开发首循环夹具'!$D$4:$D$10003,"historical")</x:f>
        <x:v>0</x:v>
      </x:c>
      <x:c r="H97" s="8" t="str">
        <x:v>否</x:v>
      </x:c>
    </x:row>
    <x:row r="98" ht="26" customHeight="1">
      <x:c r="A98" s="2"/>
      <x:c r="B98" s="2"/>
      <x:c r="C98" s="2"/>
      <x:c r="D98" s="2"/>
      <x:c r="E98" s="2"/>
      <x:c r="F98" s="2"/>
      <x:c r="G98" s="2"/>
      <x:c r="H98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9" hidden="0" customWidth="1"/>
    <x:col min="5" max="5" width="18" hidden="0" customWidth="1"/>
    <x:col min="6" max="6" width="18" hidden="0" customWidth="1"/>
    <x:col min="7" max="7" width="18" hidden="0" customWidth="1"/>
    <x:col min="8" max="8" width="54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币种键</x:v>
      </x:c>
      <x:c r="C1" s="7" t="str">
        <x:v>显示名称</x:v>
      </x:c>
      <x:c r="D1" s="7" t="str">
        <x:v>每显示单位内部整数数</x:v>
      </x:c>
      <x:c r="E1" s="7" t="str">
        <x:v>是否绑定</x:v>
      </x:c>
      <x:c r="F1" s="7" t="str">
        <x:v>可存共享仓</x:v>
      </x:c>
      <x:c r="G1" s="7" t="str">
        <x:v>可作市场支付</x:v>
      </x:c>
      <x:c r="H1" s="7" t="str">
        <x:v>唯一新增来源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currency_key</x:v>
      </x:c>
      <x:c r="C2" s="12" t="str">
        <x:v>display_name</x:v>
      </x:c>
      <x:c r="D2" s="12" t="str">
        <x:v>units_per_display</x:v>
      </x:c>
      <x:c r="E2" s="12" t="str">
        <x:v>bound</x:v>
      </x:c>
      <x:c r="F2" s="12" t="str">
        <x:v>shareable</x:v>
      </x:c>
      <x:c r="G2" s="12" t="str">
        <x:v>market_payment</x:v>
      </x:c>
      <x:c r="H2" s="12" t="str">
        <x:v>mint_sources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内部单位/显示单位 / both</x:v>
      </x:c>
      <x:c r="E3" s="15" t="str">
        <x:v>bool / 必填 / both</x:v>
      </x:c>
      <x:c r="F3" s="15" t="str">
        <x:v>bool / 必填 / both</x:v>
      </x:c>
      <x:c r="G3" s="15" t="str">
        <x:v>bool / 必填 / both</x:v>
      </x:c>
      <x:c r="H3" s="15" t="str">
        <x:v>json / 必填 / server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 t="n">
        <x:v>1</x:v>
      </x:c>
      <x:c r="B4" s="17" t="str">
        <x:v>gold</x:v>
      </x:c>
      <x:c r="C4" s="17" t="str">
        <x:v>金币</x:v>
      </x:c>
      <x:c r="D4" s="16" t="n">
        <x:v>1</x:v>
      </x:c>
      <x:c r="E4" s="9" t="b">
        <x:v>0</x:v>
      </x:c>
      <x:c r="F4" s="9" t="b">
        <x:v>1</x:v>
      </x:c>
      <x:c r="G4" s="9" t="b">
        <x:v>0</x:v>
      </x:c>
      <x:c r="H4" s="17" t="str">
        <x:v>["privileged_kill","unbound_recycle"]</x:v>
      </x:c>
      <x:c r="I4" s="17" t="str">
        <x:v>confirmed</x:v>
      </x:c>
      <x:c r="J4" s="18" t="str">
        <x:v>最终策划案.md:135-155；4.3、5.11</x:v>
      </x:c>
      <x:c r="K4" s="18" t="str"/>
    </x:row>
    <x:row r="5" ht="15" hidden="0" customHeight="1">
      <x:c r="A5" s="19" t="n">
        <x:v>2</x:v>
      </x:c>
      <x:c r="B5" s="17" t="str">
        <x:v>bound_gold</x:v>
      </x:c>
      <x:c r="C5" s="17" t="str">
        <x:v>绑定金币</x:v>
      </x:c>
      <x:c r="D5" s="16" t="n">
        <x:v>1</x:v>
      </x:c>
      <x:c r="E5" s="9" t="b">
        <x:v>1</x:v>
      </x:c>
      <x:c r="F5" s="9" t="b">
        <x:v>0</x:v>
      </x:c>
      <x:c r="G5" s="9" t="b">
        <x:v>0</x:v>
      </x:c>
      <x:c r="H5" s="17" t="str">
        <x:v>["nonprivileged_kill","bound_recycle","configured_system_rewards"]</x:v>
      </x:c>
      <x:c r="I5" s="17" t="str">
        <x:v>confirmed</x:v>
      </x:c>
      <x:c r="J5" s="18" t="str">
        <x:v>最终策划案.md:135-155；4.3、5.11</x:v>
      </x:c>
      <x:c r="K5" s="18" t="str"/>
    </x:row>
    <x:row r="6" ht="15" hidden="0" customHeight="1">
      <x:c r="A6" s="19" t="n">
        <x:v>3</x:v>
      </x:c>
      <x:c r="B6" s="17" t="str">
        <x:v>ingot</x:v>
      </x:c>
      <x:c r="C6" s="17" t="str">
        <x:v>元宝</x:v>
      </x:c>
      <x:c r="D6" s="16" t="n">
        <x:v>10</x:v>
      </x:c>
      <x:c r="E6" s="9" t="b">
        <x:v>0</x:v>
      </x:c>
      <x:c r="F6" s="9" t="b">
        <x:v>1</x:v>
      </x:c>
      <x:c r="G6" s="9" t="b">
        <x:v>1</x:v>
      </x:c>
      <x:c r="H6" s="17" t="str">
        <x:v>["verified_recharge_only"]</x:v>
      </x:c>
      <x:c r="I6" s="17" t="str">
        <x:v>confirmed</x:v>
      </x:c>
      <x:c r="J6" s="18" t="str">
        <x:v>最终策划案.md:135-155；4.3、5.11</x:v>
      </x:c>
      <x:c r="K6" s="18" t="str"/>
    </x:row>
    <x:row r="7" ht="15" hidden="0" customHeight="1">
      <x:c r="A7" s="19" t="n">
        <x:v>4</x:v>
      </x:c>
      <x:c r="B7" s="17" t="str">
        <x:v>bound_ingot</x:v>
      </x:c>
      <x:c r="C7" s="17" t="str">
        <x:v>绑定元宝</x:v>
      </x:c>
      <x:c r="D7" s="16" t="n">
        <x:v>10</x:v>
      </x:c>
      <x:c r="E7" s="9" t="b">
        <x:v>1</x:v>
      </x:c>
      <x:c r="F7" s="9" t="b">
        <x:v>0</x:v>
      </x:c>
      <x:c r="G7" s="9" t="b">
        <x:v>0</x:v>
      </x:c>
      <x:c r="H7" s="17" t="str">
        <x:v>["configured_system_rewards"]</x:v>
      </x:c>
      <x:c r="I7" s="17" t="str">
        <x:v>confirmed</x:v>
      </x:c>
      <x:c r="J7" s="18" t="str">
        <x:v>最终策划案.md:135-155；4.3、5.11</x:v>
      </x:c>
      <x:c r="K7" s="18" t="str"/>
    </x:row>
    <x:row r="8" ht="15" hidden="0" customHeight="1">
      <x:c r="A8" s="19"/>
      <x:c r="B8" s="17"/>
      <x:c r="C8" s="17"/>
      <x:c r="D8" s="16"/>
      <x:c r="E8" s="2"/>
      <x:c r="F8" s="2"/>
      <x:c r="G8" s="2"/>
      <x:c r="H8" s="17"/>
      <x:c r="I8" s="17"/>
      <x:c r="J8" s="18"/>
      <x:c r="K8" s="18"/>
    </x:row>
    <x:row r="9" ht="15" hidden="0" customHeight="1">
      <x:c r="A9" s="19"/>
      <x:c r="B9" s="17"/>
      <x:c r="C9" s="17"/>
      <x:c r="D9" s="16"/>
      <x:c r="E9" s="2"/>
      <x:c r="F9" s="2"/>
      <x:c r="G9" s="2"/>
      <x:c r="H9" s="17"/>
      <x:c r="I9" s="17"/>
      <x:c r="J9" s="18"/>
      <x:c r="K9" s="18"/>
    </x:row>
  </x:sheetData>
  <x:conditionalFormatting sqref="A4:A1003">
    <x:cfRule type="expression" dxfId="0" priority="1">
      <x:formula>AND($A4&lt;&gt;"",ISBLANK(A4))</x:formula>
    </x:cfRule>
  </x:conditionalFormatting>
  <x:conditionalFormatting sqref="B4:B1003">
    <x:cfRule type="expression" dxfId="1" priority="2">
      <x:formula>AND($A4&lt;&gt;"",ISBLANK(B4))</x:formula>
    </x:cfRule>
  </x:conditionalFormatting>
  <x:conditionalFormatting sqref="C4:C1003">
    <x:cfRule type="expression" dxfId="2" priority="3">
      <x:formula>AND($A4&lt;&gt;"",ISBLANK(C4))</x:formula>
    </x:cfRule>
  </x:conditionalFormatting>
  <x:conditionalFormatting sqref="D4:D1003">
    <x:cfRule type="expression" dxfId="3" priority="4">
      <x:formula>AND($A4&lt;&gt;"",ISBLANK(D4))</x:formula>
    </x:cfRule>
  </x:conditionalFormatting>
  <x:conditionalFormatting sqref="E4:E1003">
    <x:cfRule type="expression" dxfId="4" priority="5">
      <x:formula>AND($A4&lt;&gt;"",ISBLANK(E4))</x:formula>
    </x:cfRule>
  </x:conditionalFormatting>
  <x:conditionalFormatting sqref="F4:F1003">
    <x:cfRule type="expression" dxfId="5" priority="6">
      <x:formula>AND($A4&lt;&gt;"",ISBLANK(F4))</x:formula>
    </x:cfRule>
  </x:conditionalFormatting>
  <x:conditionalFormatting sqref="G4:G1003">
    <x:cfRule type="expression" dxfId="6" priority="7">
      <x:formula>AND($A4&lt;&gt;"",ISBLANK(G4))</x:formula>
    </x:cfRule>
  </x:conditionalFormatting>
  <x:conditionalFormatting sqref="H4:H1003">
    <x:cfRule type="expression" dxfId="7" priority="8">
      <x:formula>AND($A4&lt;&gt;"",ISBLANK(H4))</x:formula>
    </x:cfRule>
  </x:conditionalFormatting>
  <x:conditionalFormatting sqref="I4:I1003">
    <x:cfRule type="containsText" dxfId="8" priority="9" operator="containsText" text="candidate"/>
    <x:cfRule type="containsText" dxfId="9" priority="10" operator="containsText" text="unverified"/>
    <x:cfRule type="containsText" dxfId="10" priority="11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职业键</x:v>
      </x:c>
      <x:c r="C1" s="7" t="str">
        <x:v>职业名</x:v>
      </x:c>
      <x:c r="D1" s="7" t="str">
        <x:v>固定性别编号</x:v>
      </x:c>
      <x:c r="E1" s="7" t="str">
        <x:v>固定形象键</x:v>
      </x:c>
      <x:c r="F1" s="7" t="str">
        <x:v>允许单独选择性别</x:v>
      </x:c>
      <x:c r="G1" s="7" t="str">
        <x:v>开放转职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class_key</x:v>
      </x:c>
      <x:c r="C2" s="12" t="str">
        <x:v>display_name</x:v>
      </x:c>
      <x:c r="D2" s="12" t="str">
        <x:v>gender_id</x:v>
      </x:c>
      <x:c r="E2" s="12" t="str">
        <x:v>appearance_key</x:v>
      </x:c>
      <x:c r="F2" s="12" t="str">
        <x:v>select_gender</x:v>
      </x:c>
      <x:c r="G2" s="12" t="str">
        <x:v>allow_class_change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string / 必填 / both</x:v>
      </x:c>
      <x:c r="F3" s="15" t="str">
        <x:v>bool / 必填 / both</x:v>
      </x:c>
      <x:c r="G3" s="15" t="str">
        <x:v>bool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 t="n">
        <x:v>0</x:v>
      </x:c>
      <x:c r="B4" s="17" t="str">
        <x:v>warrior</x:v>
      </x:c>
      <x:c r="C4" s="17" t="str">
        <x:v>战士</x:v>
      </x:c>
      <x:c r="D4" s="16" t="n">
        <x:v>0</x:v>
      </x:c>
      <x:c r="E4" s="17" t="str">
        <x:v>male_warrior</x:v>
      </x:c>
      <x:c r="F4" s="9" t="b">
        <x:v>0</x:v>
      </x:c>
      <x:c r="G4" s="9" t="b">
        <x:v>0</x:v>
      </x:c>
      <x:c r="H4" s="17" t="str">
        <x:v>confirmed</x:v>
      </x:c>
      <x:c r="I4" s="18" t="str">
        <x:v>最终策划案.md:485-497；4.20</x:v>
      </x:c>
      <x:c r="J4" s="18" t="str"/>
    </x:row>
    <x:row r="5" ht="15" hidden="0" customHeight="1">
      <x:c r="A5" s="19" t="n">
        <x:v>1</x:v>
      </x:c>
      <x:c r="B5" s="17" t="str">
        <x:v>wizard</x:v>
      </x:c>
      <x:c r="C5" s="17" t="str">
        <x:v>法师</x:v>
      </x:c>
      <x:c r="D5" s="16" t="n">
        <x:v>1</x:v>
      </x:c>
      <x:c r="E5" s="17" t="str">
        <x:v>female_wizard</x:v>
      </x:c>
      <x:c r="F5" s="9" t="b">
        <x:v>0</x:v>
      </x:c>
      <x:c r="G5" s="9" t="b">
        <x:v>0</x:v>
      </x:c>
      <x:c r="H5" s="17" t="str">
        <x:v>confirmed</x:v>
      </x:c>
      <x:c r="I5" s="18" t="str">
        <x:v>最终策划案.md:485-497；4.20</x:v>
      </x:c>
      <x:c r="J5" s="18" t="str"/>
    </x:row>
    <x:row r="6" ht="15" hidden="0" customHeight="1">
      <x:c r="A6" s="19" t="n">
        <x:v>2</x:v>
      </x:c>
      <x:c r="B6" s="17" t="str">
        <x:v>taoist</x:v>
      </x:c>
      <x:c r="C6" s="17" t="str">
        <x:v>道士</x:v>
      </x:c>
      <x:c r="D6" s="16" t="n">
        <x:v>0</x:v>
      </x:c>
      <x:c r="E6" s="17" t="str">
        <x:v>male_taoist</x:v>
      </x:c>
      <x:c r="F6" s="9" t="b">
        <x:v>0</x:v>
      </x:c>
      <x:c r="G6" s="9" t="b">
        <x:v>0</x:v>
      </x:c>
      <x:c r="H6" s="17" t="str">
        <x:v>confirmed</x:v>
      </x:c>
      <x:c r="I6" s="18" t="str">
        <x:v>最终策划案.md:485-497；4.20</x:v>
      </x:c>
      <x:c r="J6" s="18" t="str"/>
    </x:row>
    <x:row r="7" ht="15" hidden="0" customHeight="1">
      <x:c r="A7" s="19"/>
      <x:c r="B7" s="17"/>
      <x:c r="C7" s="17"/>
      <x:c r="D7" s="16"/>
      <x:c r="E7" s="17"/>
      <x:c r="F7" s="2"/>
      <x:c r="G7" s="2"/>
      <x:c r="H7" s="17"/>
      <x:c r="I7" s="18"/>
      <x:c r="J7" s="18"/>
    </x:row>
    <x:row r="8" ht="15" hidden="0" customHeight="1">
      <x:c r="A8" s="19"/>
      <x:c r="B8" s="17"/>
      <x:c r="C8" s="17"/>
      <x:c r="D8" s="16"/>
      <x:c r="E8" s="17"/>
      <x:c r="F8" s="2"/>
      <x:c r="G8" s="2"/>
      <x:c r="H8" s="17"/>
      <x:c r="I8" s="18"/>
      <x:c r="J8" s="18"/>
    </x:row>
    <x:row r="9" ht="15" hidden="0" customHeight="1">
      <x:c r="A9" s="19"/>
      <x:c r="B9" s="17"/>
      <x:c r="C9" s="17"/>
      <x:c r="D9" s="16"/>
      <x:c r="E9" s="17"/>
      <x:c r="F9" s="2"/>
      <x:c r="G9" s="2"/>
      <x:c r="H9" s="17"/>
      <x:c r="I9" s="18"/>
      <x:c r="J9" s="18"/>
    </x:row>
  </x:sheetData>
  <x:conditionalFormatting sqref="A4:A1003">
    <x:cfRule type="expression" dxfId="11" priority="1">
      <x:formula>AND($A4&lt;&gt;"",ISBLANK(A4))</x:formula>
    </x:cfRule>
  </x:conditionalFormatting>
  <x:conditionalFormatting sqref="B4:B1003">
    <x:cfRule type="expression" dxfId="12" priority="2">
      <x:formula>AND($A4&lt;&gt;"",ISBLANK(B4))</x:formula>
    </x:cfRule>
  </x:conditionalFormatting>
  <x:conditionalFormatting sqref="C4:C1003">
    <x:cfRule type="expression" dxfId="13" priority="3">
      <x:formula>AND($A4&lt;&gt;"",ISBLANK(C4))</x:formula>
    </x:cfRule>
  </x:conditionalFormatting>
  <x:conditionalFormatting sqref="D4:D1003">
    <x:cfRule type="expression" dxfId="14" priority="4">
      <x:formula>AND($A4&lt;&gt;"",ISBLANK(D4))</x:formula>
    </x:cfRule>
  </x:conditionalFormatting>
  <x:conditionalFormatting sqref="E4:E1003">
    <x:cfRule type="expression" dxfId="15" priority="5">
      <x:formula>AND($A4&lt;&gt;"",ISBLANK(E4))</x:formula>
    </x:cfRule>
  </x:conditionalFormatting>
  <x:conditionalFormatting sqref="F4:F1003">
    <x:cfRule type="expression" dxfId="16" priority="6">
      <x:formula>AND($A4&lt;&gt;"",ISBLANK(F4))</x:formula>
    </x:cfRule>
  </x:conditionalFormatting>
  <x:conditionalFormatting sqref="G4:G1003">
    <x:cfRule type="expression" dxfId="17" priority="7">
      <x:formula>AND($A4&lt;&gt;"",ISBLANK(G4))</x:formula>
    </x:cfRule>
  </x:conditionalFormatting>
  <x:conditionalFormatting sqref="H4:H1003">
    <x:cfRule type="containsText" dxfId="18" priority="8" operator="containsText" text="candidate"/>
    <x:cfRule type="containsText" dxfId="19" priority="9" operator="containsText" text="unverified"/>
    <x:cfRule type="containsText" dxfId="20" priority="10" operator="containsText" text="historical"/>
  </x:conditionalFormatting>
  <x:dataValidations count="2">
    <x:dataValidation type="list" sqref="D4:D1003">
      <x:formula1>"0,1"</x:formula1>
    </x:dataValidation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逻辑部位键</x:v>
      </x:c>
      <x:c r="C1" s="7" t="str">
        <x:v>部位名称</x:v>
      </x:c>
      <x:c r="D1" s="7" t="str">
        <x:v>参加部位强化</x:v>
      </x:c>
      <x:c r="E1" s="7" t="str">
        <x:v>允许祝福油</x:v>
      </x:c>
      <x:c r="F1" s="7" t="str">
        <x:v>初始幸运最大值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slot_key</x:v>
      </x:c>
      <x:c r="C2" s="12" t="str">
        <x:v>display_name</x:v>
      </x:c>
      <x:c r="D2" s="12" t="str">
        <x:v>strengthenable</x:v>
      </x:c>
      <x:c r="E2" s="12" t="str">
        <x:v>oil_allowed</x:v>
      </x:c>
      <x:c r="F2" s="12" t="str">
        <x:v>initial_luck_max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bool / 必填 / both</x:v>
      </x:c>
      <x:c r="E3" s="15" t="str">
        <x:v>bool / 必填 / both</x:v>
      </x:c>
      <x:c r="F3" s="15" t="str">
        <x:v>int / 必填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7" t="str">
        <x:v>weapon</x:v>
      </x:c>
      <x:c r="C4" s="17" t="str">
        <x:v>武器</x:v>
      </x:c>
      <x:c r="D4" s="9" t="b">
        <x:v>1</x:v>
      </x:c>
      <x:c r="E4" s="9" t="b">
        <x:v>1</x:v>
      </x:c>
      <x:c r="F4" s="16" t="n">
        <x:v>3</x:v>
      </x:c>
      <x:c r="G4" s="17" t="str">
        <x:v>confirmed</x:v>
      </x:c>
      <x:c r="H4" s="18" t="str">
        <x:v>最终策划案.md:113-123；4.2、4.6</x:v>
      </x:c>
      <x:c r="I4" s="18" t="str">
        <x:v>编号为本项目初始配置ID；原文只确定部位含义，发布后冻结编号。</x:v>
      </x:c>
    </x:row>
    <x:row r="5" ht="15" hidden="0" customHeight="1">
      <x:c r="A5" s="19" t="n">
        <x:v>2</x:v>
      </x:c>
      <x:c r="B5" s="17" t="str">
        <x:v>helmet</x:v>
      </x:c>
      <x:c r="C5" s="17" t="str">
        <x:v>头盔</x:v>
      </x:c>
      <x:c r="D5" s="9" t="b">
        <x:v>1</x:v>
      </x:c>
      <x:c r="E5" s="9" t="b">
        <x:v>0</x:v>
      </x:c>
      <x:c r="F5" s="16" t="n">
        <x:v>3</x:v>
      </x:c>
      <x:c r="G5" s="17" t="str">
        <x:v>confirmed</x:v>
      </x:c>
      <x:c r="H5" s="18" t="str">
        <x:v>最终策划案.md:113-123；4.2、4.6</x:v>
      </x:c>
      <x:c r="I5" s="18" t="str">
        <x:v>编号为本项目初始配置ID；原文只确定部位含义，发布后冻结编号。</x:v>
      </x:c>
    </x:row>
    <x:row r="6" ht="15" hidden="0" customHeight="1">
      <x:c r="A6" s="19" t="n">
        <x:v>3</x:v>
      </x:c>
      <x:c r="B6" s="17" t="str">
        <x:v>necklace</x:v>
      </x:c>
      <x:c r="C6" s="17" t="str">
        <x:v>项链</x:v>
      </x:c>
      <x:c r="D6" s="9" t="b">
        <x:v>1</x:v>
      </x:c>
      <x:c r="E6" s="9" t="b">
        <x:v>0</x:v>
      </x:c>
      <x:c r="F6" s="16" t="n">
        <x:v>3</x:v>
      </x:c>
      <x:c r="G6" s="17" t="str">
        <x:v>confirmed</x:v>
      </x:c>
      <x:c r="H6" s="18" t="str">
        <x:v>最终策划案.md:113-123；4.2、4.6</x:v>
      </x:c>
      <x:c r="I6" s="18" t="str">
        <x:v>编号为本项目初始配置ID；原文只确定部位含义，发布后冻结编号。</x:v>
      </x:c>
    </x:row>
    <x:row r="7" ht="15" hidden="0" customHeight="1">
      <x:c r="A7" s="19" t="n">
        <x:v>4</x:v>
      </x:c>
      <x:c r="B7" s="17" t="str">
        <x:v>armor</x:v>
      </x:c>
      <x:c r="C7" s="17" t="str">
        <x:v>衣服</x:v>
      </x:c>
      <x:c r="D7" s="9" t="b">
        <x:v>1</x:v>
      </x:c>
      <x:c r="E7" s="9" t="b">
        <x:v>0</x:v>
      </x:c>
      <x:c r="F7" s="16" t="n">
        <x:v>3</x:v>
      </x:c>
      <x:c r="G7" s="17" t="str">
        <x:v>confirmed</x:v>
      </x:c>
      <x:c r="H7" s="18" t="str">
        <x:v>最终策划案.md:113-123；4.2、4.6</x:v>
      </x:c>
      <x:c r="I7" s="18" t="str">
        <x:v>编号为本项目初始配置ID；原文只确定部位含义，发布后冻结编号。</x:v>
      </x:c>
    </x:row>
    <x:row r="8" ht="15" hidden="0" customHeight="1">
      <x:c r="A8" s="19" t="n">
        <x:v>5</x:v>
      </x:c>
      <x:c r="B8" s="17" t="str">
        <x:v>bracelet_left</x:v>
      </x:c>
      <x:c r="C8" s="17" t="str">
        <x:v>手镯左</x:v>
      </x:c>
      <x:c r="D8" s="9" t="b">
        <x:v>1</x:v>
      </x:c>
      <x:c r="E8" s="9" t="b">
        <x:v>0</x:v>
      </x:c>
      <x:c r="F8" s="16" t="n">
        <x:v>3</x:v>
      </x:c>
      <x:c r="G8" s="17" t="str">
        <x:v>confirmed</x:v>
      </x:c>
      <x:c r="H8" s="18" t="str">
        <x:v>最终策划案.md:113-123；4.2、4.6</x:v>
      </x:c>
      <x:c r="I8" s="18" t="str">
        <x:v>编号为本项目初始配置ID；原文只确定部位含义，发布后冻结编号。</x:v>
      </x:c>
    </x:row>
    <x:row r="9" ht="15" hidden="0" customHeight="1">
      <x:c r="A9" s="19" t="n">
        <x:v>6</x:v>
      </x:c>
      <x:c r="B9" s="17" t="str">
        <x:v>bracelet_right</x:v>
      </x:c>
      <x:c r="C9" s="17" t="str">
        <x:v>手镯右</x:v>
      </x:c>
      <x:c r="D9" s="9" t="b">
        <x:v>1</x:v>
      </x:c>
      <x:c r="E9" s="9" t="b">
        <x:v>0</x:v>
      </x:c>
      <x:c r="F9" s="16" t="n">
        <x:v>3</x:v>
      </x:c>
      <x:c r="G9" s="17" t="str">
        <x:v>confirmed</x:v>
      </x:c>
      <x:c r="H9" s="18" t="str">
        <x:v>最终策划案.md:113-123；4.2、4.6</x:v>
      </x:c>
      <x:c r="I9" s="18" t="str">
        <x:v>编号为本项目初始配置ID；原文只确定部位含义，发布后冻结编号。</x:v>
      </x:c>
    </x:row>
    <x:row r="10" ht="15" hidden="0" customHeight="1">
      <x:c r="A10" s="19" t="n">
        <x:v>7</x:v>
      </x:c>
      <x:c r="B10" s="17" t="str">
        <x:v>ring_left</x:v>
      </x:c>
      <x:c r="C10" s="17" t="str">
        <x:v>戒指左</x:v>
      </x:c>
      <x:c r="D10" s="9" t="b">
        <x:v>1</x:v>
      </x:c>
      <x:c r="E10" s="9" t="b">
        <x:v>0</x:v>
      </x:c>
      <x:c r="F10" s="16" t="n">
        <x:v>3</x:v>
      </x:c>
      <x:c r="G10" s="17" t="str">
        <x:v>confirmed</x:v>
      </x:c>
      <x:c r="H10" s="18" t="str">
        <x:v>最终策划案.md:113-123；4.2、4.6</x:v>
      </x:c>
      <x:c r="I10" s="18" t="str">
        <x:v>编号为本项目初始配置ID；原文只确定部位含义，发布后冻结编号。</x:v>
      </x:c>
    </x:row>
    <x:row r="11" ht="15" hidden="0" customHeight="1">
      <x:c r="A11" s="19" t="n">
        <x:v>8</x:v>
      </x:c>
      <x:c r="B11" s="17" t="str">
        <x:v>ring_right</x:v>
      </x:c>
      <x:c r="C11" s="17" t="str">
        <x:v>戒指右</x:v>
      </x:c>
      <x:c r="D11" s="9" t="b">
        <x:v>1</x:v>
      </x:c>
      <x:c r="E11" s="9" t="b">
        <x:v>0</x:v>
      </x:c>
      <x:c r="F11" s="16" t="n">
        <x:v>3</x:v>
      </x:c>
      <x:c r="G11" s="17" t="str">
        <x:v>confirmed</x:v>
      </x:c>
      <x:c r="H11" s="18" t="str">
        <x:v>最终策划案.md:113-123；4.2、4.6</x:v>
      </x:c>
      <x:c r="I11" s="18" t="str">
        <x:v>编号为本项目初始配置ID；原文只确定部位含义，发布后冻结编号。</x:v>
      </x:c>
    </x:row>
    <x:row r="12" ht="15" hidden="0" customHeight="1">
      <x:c r="A12" s="19" t="n">
        <x:v>9</x:v>
      </x:c>
      <x:c r="B12" s="17" t="str">
        <x:v>belt</x:v>
      </x:c>
      <x:c r="C12" s="17" t="str">
        <x:v>腰带</x:v>
      </x:c>
      <x:c r="D12" s="9" t="b">
        <x:v>1</x:v>
      </x:c>
      <x:c r="E12" s="9" t="b">
        <x:v>0</x:v>
      </x:c>
      <x:c r="F12" s="16" t="n">
        <x:v>3</x:v>
      </x:c>
      <x:c r="G12" s="17" t="str">
        <x:v>confirmed</x:v>
      </x:c>
      <x:c r="H12" s="18" t="str">
        <x:v>最终策划案.md:113-123；4.2、4.6</x:v>
      </x:c>
      <x:c r="I12" s="18" t="str">
        <x:v>编号为本项目初始配置ID；原文只确定部位含义，发布后冻结编号。</x:v>
      </x:c>
    </x:row>
    <x:row r="13" ht="15" hidden="0" customHeight="1">
      <x:c r="A13" s="19" t="n">
        <x:v>10</x:v>
      </x:c>
      <x:c r="B13" s="17" t="str">
        <x:v>boots</x:v>
      </x:c>
      <x:c r="C13" s="17" t="str">
        <x:v>鞋子</x:v>
      </x:c>
      <x:c r="D13" s="9" t="b">
        <x:v>1</x:v>
      </x:c>
      <x:c r="E13" s="9" t="b">
        <x:v>0</x:v>
      </x:c>
      <x:c r="F13" s="16" t="n">
        <x:v>3</x:v>
      </x:c>
      <x:c r="G13" s="17" t="str">
        <x:v>confirmed</x:v>
      </x:c>
      <x:c r="H13" s="18" t="str">
        <x:v>最终策划案.md:113-123；4.2、4.6</x:v>
      </x:c>
      <x:c r="I13" s="18" t="str">
        <x:v>编号为本项目初始配置ID；原文只确定部位含义，发布后冻结编号。</x:v>
      </x:c>
    </x:row>
  </x:sheetData>
  <x:conditionalFormatting sqref="A4:A1003">
    <x:cfRule type="expression" dxfId="21" priority="1">
      <x:formula>AND($A4&lt;&gt;"",ISBLANK(A4))</x:formula>
    </x:cfRule>
  </x:conditionalFormatting>
  <x:conditionalFormatting sqref="B4:B1003">
    <x:cfRule type="expression" dxfId="22" priority="2">
      <x:formula>AND($A4&lt;&gt;"",ISBLANK(B4))</x:formula>
    </x:cfRule>
  </x:conditionalFormatting>
  <x:conditionalFormatting sqref="C4:C1003">
    <x:cfRule type="expression" dxfId="23" priority="3">
      <x:formula>AND($A4&lt;&gt;"",ISBLANK(C4))</x:formula>
    </x:cfRule>
  </x:conditionalFormatting>
  <x:conditionalFormatting sqref="D4:D1003">
    <x:cfRule type="expression" dxfId="24" priority="4">
      <x:formula>AND($A4&lt;&gt;"",ISBLANK(D4))</x:formula>
    </x:cfRule>
  </x:conditionalFormatting>
  <x:conditionalFormatting sqref="E4:E1003">
    <x:cfRule type="expression" dxfId="25" priority="5">
      <x:formula>AND($A4&lt;&gt;"",ISBLANK(E4))</x:formula>
    </x:cfRule>
  </x:conditionalFormatting>
  <x:conditionalFormatting sqref="F4:F1003">
    <x:cfRule type="expression" dxfId="26" priority="6">
      <x:formula>AND($A4&lt;&gt;"",ISBLANK(F4))</x:formula>
    </x:cfRule>
  </x:conditionalFormatting>
  <x:conditionalFormatting sqref="G4:G1003">
    <x:cfRule type="containsText" dxfId="27" priority="7" operator="containsText" text="candidate"/>
    <x:cfRule type="containsText" dxfId="28" priority="8" operator="containsText" text="unverified"/>
    <x:cfRule type="containsText" dxfId="29" priority="9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1" hidden="0" customWidth="1"/>
    <x:col min="6" max="6" width="24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品质键</x:v>
      </x:c>
      <x:c r="C1" s="7" t="str">
        <x:v>品质名称</x:v>
      </x:c>
      <x:c r="D1" s="7" t="str">
        <x:v>词条槽数</x:v>
      </x:c>
      <x:c r="E1" s="7" t="str">
        <x:v>允许随机掉装来源</x:v>
      </x:c>
      <x:c r="F1" s="7" t="str">
        <x:v>非绑定装备可申请上架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quality_key</x:v>
      </x:c>
      <x:c r="C2" s="12" t="str">
        <x:v>display_name</x:v>
      </x:c>
      <x:c r="D2" s="12" t="str">
        <x:v>affix_slots</x:v>
      </x:c>
      <x:c r="E2" s="12" t="str">
        <x:v>random_drop_allowed</x:v>
      </x:c>
      <x:c r="F2" s="12" t="str">
        <x:v>unbound_market_allowed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bool / 必填 / both</x:v>
      </x:c>
      <x:c r="F3" s="15" t="str">
        <x:v>bool / 必填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0</x:v>
      </x:c>
      <x:c r="B4" s="17" t="str">
        <x:v>normal</x:v>
      </x:c>
      <x:c r="C4" s="17" t="str">
        <x:v>普通</x:v>
      </x:c>
      <x:c r="D4" s="16" t="n">
        <x:v>0</x:v>
      </x:c>
      <x:c r="E4" s="9" t="b">
        <x:v>1</x:v>
      </x:c>
      <x:c r="F4" s="9" t="b">
        <x:v>0</x:v>
      </x:c>
      <x:c r="G4" s="17" t="str">
        <x:v>confirmed</x:v>
      </x:c>
      <x:c r="H4" s="18" t="str">
        <x:v>最终策划案.md:113-119；4.2、5.2</x:v>
      </x:c>
      <x:c r="I4" s="18" t="str"/>
    </x:row>
    <x:row r="5" ht="15" hidden="0" customHeight="1">
      <x:c r="A5" s="19" t="n">
        <x:v>1</x:v>
      </x:c>
      <x:c r="B5" s="17" t="str">
        <x:v>fine</x:v>
      </x:c>
      <x:c r="C5" s="17" t="str">
        <x:v>精良</x:v>
      </x:c>
      <x:c r="D5" s="16" t="n">
        <x:v>1</x:v>
      </x:c>
      <x:c r="E5" s="9" t="b">
        <x:v>1</x:v>
      </x:c>
      <x:c r="F5" s="9" t="b">
        <x:v>0</x:v>
      </x:c>
      <x:c r="G5" s="17" t="str">
        <x:v>confirmed</x:v>
      </x:c>
      <x:c r="H5" s="18" t="str">
        <x:v>最终策划案.md:113-119；4.2、5.2</x:v>
      </x:c>
      <x:c r="I5" s="18" t="str"/>
    </x:row>
    <x:row r="6" ht="15" hidden="0" customHeight="1">
      <x:c r="A6" s="19" t="n">
        <x:v>2</x:v>
      </x:c>
      <x:c r="B6" s="17" t="str">
        <x:v>rare</x:v>
      </x:c>
      <x:c r="C6" s="17" t="str">
        <x:v>稀有</x:v>
      </x:c>
      <x:c r="D6" s="16" t="n">
        <x:v>2</x:v>
      </x:c>
      <x:c r="E6" s="9" t="b">
        <x:v>1</x:v>
      </x:c>
      <x:c r="F6" s="9" t="b">
        <x:v>1</x:v>
      </x:c>
      <x:c r="G6" s="17" t="str">
        <x:v>confirmed</x:v>
      </x:c>
      <x:c r="H6" s="18" t="str">
        <x:v>最终策划案.md:113-119；4.2、5.2</x:v>
      </x:c>
      <x:c r="I6" s="18" t="str"/>
    </x:row>
    <x:row r="7" ht="15" hidden="0" customHeight="1">
      <x:c r="A7" s="19" t="n">
        <x:v>3</x:v>
      </x:c>
      <x:c r="B7" s="17" t="str">
        <x:v>epic</x:v>
      </x:c>
      <x:c r="C7" s="17" t="str">
        <x:v>史诗</x:v>
      </x:c>
      <x:c r="D7" s="16" t="n">
        <x:v>3</x:v>
      </x:c>
      <x:c r="E7" s="9" t="b">
        <x:v>1</x:v>
      </x:c>
      <x:c r="F7" s="9" t="b">
        <x:v>1</x:v>
      </x:c>
      <x:c r="G7" s="17" t="str">
        <x:v>confirmed</x:v>
      </x:c>
      <x:c r="H7" s="18" t="str">
        <x:v>最终策划案.md:113-119；4.2、5.2</x:v>
      </x:c>
      <x:c r="I7" s="18" t="str"/>
    </x:row>
    <x:row r="8" ht="15" hidden="0" customHeight="1">
      <x:c r="A8" s="19" t="n">
        <x:v>4</x:v>
      </x:c>
      <x:c r="B8" s="17" t="str">
        <x:v>legendary</x:v>
      </x:c>
      <x:c r="C8" s="17" t="str">
        <x:v>传说</x:v>
      </x:c>
      <x:c r="D8" s="16" t="n">
        <x:v>4</x:v>
      </x:c>
      <x:c r="E8" s="9" t="b">
        <x:v>0</x:v>
      </x:c>
      <x:c r="F8" s="9" t="b">
        <x:v>1</x:v>
      </x:c>
      <x:c r="G8" s="17" t="str">
        <x:v>confirmed</x:v>
      </x:c>
      <x:c r="H8" s="18" t="str">
        <x:v>最终策划案.md:113-119；4.2、5.2</x:v>
      </x:c>
      <x:c r="I8" s="18" t="str"/>
    </x:row>
    <x:row r="9" ht="15" hidden="0" customHeight="1">
      <x:c r="A9" s="19"/>
      <x:c r="B9" s="17"/>
      <x:c r="C9" s="17"/>
      <x:c r="D9" s="16"/>
      <x:c r="E9" s="2"/>
      <x:c r="F9" s="2"/>
      <x:c r="G9" s="17"/>
      <x:c r="H9" s="18"/>
      <x:c r="I9" s="18"/>
    </x:row>
  </x:sheetData>
  <x:conditionalFormatting sqref="A4:A1003">
    <x:cfRule type="expression" dxfId="30" priority="1">
      <x:formula>AND($A4&lt;&gt;"",ISBLANK(A4))</x:formula>
    </x:cfRule>
  </x:conditionalFormatting>
  <x:conditionalFormatting sqref="B4:B1003">
    <x:cfRule type="expression" dxfId="31" priority="2">
      <x:formula>AND($A4&lt;&gt;"",ISBLANK(B4))</x:formula>
    </x:cfRule>
  </x:conditionalFormatting>
  <x:conditionalFormatting sqref="C4:C1003">
    <x:cfRule type="expression" dxfId="32" priority="3">
      <x:formula>AND($A4&lt;&gt;"",ISBLANK(C4))</x:formula>
    </x:cfRule>
  </x:conditionalFormatting>
  <x:conditionalFormatting sqref="D4:D1003">
    <x:cfRule type="expression" dxfId="33" priority="4">
      <x:formula>AND($A4&lt;&gt;"",ISBLANK(D4))</x:formula>
    </x:cfRule>
  </x:conditionalFormatting>
  <x:conditionalFormatting sqref="E4:E1003">
    <x:cfRule type="expression" dxfId="34" priority="5">
      <x:formula>AND($A4&lt;&gt;"",ISBLANK(E4))</x:formula>
    </x:cfRule>
  </x:conditionalFormatting>
  <x:conditionalFormatting sqref="F4:F1003">
    <x:cfRule type="expression" dxfId="35" priority="6">
      <x:formula>AND($A4&lt;&gt;"",ISBLANK(F4))</x:formula>
    </x:cfRule>
  </x:conditionalFormatting>
  <x:conditionalFormatting sqref="G4:G1003">
    <x:cfRule type="containsText" dxfId="36" priority="7" operator="containsText" text="candidate"/>
    <x:cfRule type="containsText" dxfId="37" priority="8" operator="containsText" text="unverified"/>
    <x:cfRule type="containsText" dxfId="38" priority="9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阶段名称</x:v>
      </x:c>
      <x:c r="C1" s="7" t="str">
        <x:v>需求等级下限</x:v>
      </x:c>
      <x:c r="D1" s="7" t="str">
        <x:v>需求等级上限</x:v>
      </x:c>
      <x:c r="E1" s="7" t="str">
        <x:v>阶段公式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stage_key</x:v>
      </x:c>
      <x:c r="C2" s="12" t="str">
        <x:v>required_level_min</x:v>
      </x:c>
      <x:c r="D2" s="12" t="str">
        <x:v>required_level_max</x:v>
      </x:c>
      <x:c r="E2" s="12" t="str">
        <x:v>formula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int / 必填 / both</x:v>
      </x:c>
      <x:c r="E3" s="15" t="str">
        <x:v>string / 必填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26.399999618530273" hidden="0" customHeight="1">
      <x:c r="A4" s="19" t="n">
        <x:v>0</x:v>
      </x:c>
      <x:c r="B4" s="17" t="str">
        <x:v>T1</x:v>
      </x:c>
      <x:c r="C4" s="16" t="n">
        <x:v>1</x:v>
      </x:c>
      <x:c r="D4" s="16" t="n">
        <x:v>10</x:v>
      </x:c>
      <x:c r="E4" s="17" t="str">
        <x:v>floor((required_level-1)/10)</x:v>
      </x:c>
      <x:c r="F4" s="17" t="str">
        <x:v>confirmed</x:v>
      </x:c>
      <x:c r="G4" s="18" t="str">
        <x:v>最终策划案.md:113；4.2</x:v>
      </x:c>
      <x:c r="H4" s="18" t="str"/>
    </x:row>
    <x:row r="5" ht="26.399999618530273" hidden="0" customHeight="1">
      <x:c r="A5" s="19" t="n">
        <x:v>1</x:v>
      </x:c>
      <x:c r="B5" s="17" t="str">
        <x:v>T2</x:v>
      </x:c>
      <x:c r="C5" s="16" t="n">
        <x:v>11</x:v>
      </x:c>
      <x:c r="D5" s="16" t="n">
        <x:v>20</x:v>
      </x:c>
      <x:c r="E5" s="17" t="str">
        <x:v>floor((required_level-1)/10)</x:v>
      </x:c>
      <x:c r="F5" s="17" t="str">
        <x:v>confirmed</x:v>
      </x:c>
      <x:c r="G5" s="18" t="str">
        <x:v>最终策划案.md:113；4.2</x:v>
      </x:c>
      <x:c r="H5" s="18" t="str"/>
    </x:row>
    <x:row r="6" ht="26.399999618530273" hidden="0" customHeight="1">
      <x:c r="A6" s="19" t="n">
        <x:v>2</x:v>
      </x:c>
      <x:c r="B6" s="17" t="str">
        <x:v>T3</x:v>
      </x:c>
      <x:c r="C6" s="16" t="n">
        <x:v>21</x:v>
      </x:c>
      <x:c r="D6" s="16" t="n">
        <x:v>30</x:v>
      </x:c>
      <x:c r="E6" s="17" t="str">
        <x:v>floor((required_level-1)/10)</x:v>
      </x:c>
      <x:c r="F6" s="17" t="str">
        <x:v>confirmed</x:v>
      </x:c>
      <x:c r="G6" s="18" t="str">
        <x:v>最终策划案.md:113；4.2</x:v>
      </x:c>
      <x:c r="H6" s="18" t="str"/>
    </x:row>
    <x:row r="7" ht="26.399999618530273" hidden="0" customHeight="1">
      <x:c r="A7" s="19" t="n">
        <x:v>3</x:v>
      </x:c>
      <x:c r="B7" s="17" t="str">
        <x:v>T4</x:v>
      </x:c>
      <x:c r="C7" s="16" t="n">
        <x:v>31</x:v>
      </x:c>
      <x:c r="D7" s="16" t="n">
        <x:v>40</x:v>
      </x:c>
      <x:c r="E7" s="17" t="str">
        <x:v>floor((required_level-1)/10)</x:v>
      </x:c>
      <x:c r="F7" s="17" t="str">
        <x:v>confirmed</x:v>
      </x:c>
      <x:c r="G7" s="18" t="str">
        <x:v>最终策划案.md:113；4.2</x:v>
      </x:c>
      <x:c r="H7" s="18" t="str"/>
    </x:row>
    <x:row r="8" ht="26.399999618530273" hidden="0" customHeight="1">
      <x:c r="A8" s="19" t="n">
        <x:v>4</x:v>
      </x:c>
      <x:c r="B8" s="17" t="str">
        <x:v>T5</x:v>
      </x:c>
      <x:c r="C8" s="16" t="n">
        <x:v>41</x:v>
      </x:c>
      <x:c r="D8" s="16" t="n">
        <x:v>50</x:v>
      </x:c>
      <x:c r="E8" s="17" t="str">
        <x:v>floor((required_level-1)/10)</x:v>
      </x:c>
      <x:c r="F8" s="17" t="str">
        <x:v>confirmed</x:v>
      </x:c>
      <x:c r="G8" s="18" t="str">
        <x:v>最终策划案.md:113；4.2</x:v>
      </x:c>
      <x:c r="H8" s="18" t="str"/>
    </x:row>
    <x:row r="9" ht="15" hidden="0" customHeight="1">
      <x:c r="A9" s="19"/>
      <x:c r="B9" s="17"/>
      <x:c r="C9" s="16"/>
      <x:c r="D9" s="16"/>
      <x:c r="E9" s="17"/>
      <x:c r="F9" s="17"/>
      <x:c r="G9" s="18"/>
      <x:c r="H9" s="18"/>
    </x:row>
  </x:sheetData>
  <x:conditionalFormatting sqref="A4:A1003">
    <x:cfRule type="expression" dxfId="39" priority="1">
      <x:formula>AND($A4&lt;&gt;"",ISBLANK(A4))</x:formula>
    </x:cfRule>
  </x:conditionalFormatting>
  <x:conditionalFormatting sqref="B4:B1003">
    <x:cfRule type="expression" dxfId="40" priority="2">
      <x:formula>AND($A4&lt;&gt;"",ISBLANK(B4))</x:formula>
    </x:cfRule>
  </x:conditionalFormatting>
  <x:conditionalFormatting sqref="C4:C1003">
    <x:cfRule type="expression" dxfId="41" priority="3">
      <x:formula>AND($A4&lt;&gt;"",ISBLANK(C4))</x:formula>
    </x:cfRule>
  </x:conditionalFormatting>
  <x:conditionalFormatting sqref="D4:D1003">
    <x:cfRule type="expression" dxfId="42" priority="4">
      <x:formula>AND($A4&lt;&gt;"",ISBLANK(D4))</x:formula>
    </x:cfRule>
  </x:conditionalFormatting>
  <x:conditionalFormatting sqref="E4:E1003">
    <x:cfRule type="expression" dxfId="43" priority="5">
      <x:formula>AND($A4&lt;&gt;"",ISBLANK(E4))</x:formula>
    </x:cfRule>
  </x:conditionalFormatting>
  <x:conditionalFormatting sqref="F4:F1003">
    <x:cfRule type="containsText" dxfId="44" priority="6" operator="containsText" text="candidate"/>
    <x:cfRule type="containsText" dxfId="45" priority="7" operator="containsText" text="unverified"/>
    <x:cfRule type="containsText" dxfId="46" priority="8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26.399999618530273" hidden="0" customHeight="1">
      <x:c r="A4" s="19" t="n">
        <x:v>1</x:v>
      </x:c>
      <x:c r="B4" s="17" t="str">
        <x:v>design_resolution</x:v>
      </x:c>
      <x:c r="C4" s="17" t="str">
        <x:v>{"width":720,"height":1280}</x:v>
      </x:c>
      <x:c r="D4" s="17" t="str">
        <x:v>confirmed</x:v>
      </x:c>
      <x:c r="E4" s="18" t="str">
        <x:v>最终策划案.md:31-47、91-105、337-339、1011-1060、1141-1145；1、4.1、4.11、7.2、8.1</x:v>
      </x:c>
      <x:c r="F4" s="18" t="str"/>
    </x:row>
    <x:row r="5" ht="26.399999618530273" hidden="0" customHeight="1">
      <x:c r="A5" s="19" t="n">
        <x:v>2</x:v>
      </x:c>
      <x:c r="B5" s="17" t="str">
        <x:v>role_slots_per_account_origin</x:v>
      </x:c>
      <x:c r="C5" s="17" t="str">
        <x:v>5</x:v>
      </x:c>
      <x:c r="D5" s="17" t="str">
        <x:v>confirmed</x:v>
      </x:c>
      <x:c r="E5" s="18" t="str">
        <x:v>最终策划案.md:31-47、91-105、337-339、1011-1060、1141-1145；1、4.1、4.11、7.2、8.1</x:v>
      </x:c>
      <x:c r="F5" s="18" t="str"/>
    </x:row>
    <x:row r="6" ht="26.399999618530273" hidden="0" customHeight="1">
      <x:c r="A6" s="19" t="n">
        <x:v>3</x:v>
      </x:c>
      <x:c r="B6" s="17" t="str">
        <x:v>role_slots_concurrent</x:v>
      </x:c>
      <x:c r="C6" s="17" t="str">
        <x:v>true</x:v>
      </x:c>
      <x:c r="D6" s="17" t="str">
        <x:v>confirmed</x:v>
      </x:c>
      <x:c r="E6" s="18" t="str">
        <x:v>最终策划案.md:31-47、91-105、337-339、1011-1060、1141-1145；1、4.1、4.11、7.2、8.1</x:v>
      </x:c>
      <x:c r="F6" s="18" t="str"/>
    </x:row>
    <x:row r="7" ht="26.399999618530273" hidden="0" customHeight="1">
      <x:c r="A7" s="19" t="n">
        <x:v>4</x:v>
      </x:c>
      <x:c r="B7" s="17" t="str">
        <x:v>operating_timezone</x:v>
      </x:c>
      <x:c r="C7" s="17" t="str">
        <x:v>"Asia/Shanghai"</x:v>
      </x:c>
      <x:c r="D7" s="17" t="str">
        <x:v>confirmed</x:v>
      </x:c>
      <x:c r="E7" s="18" t="str">
        <x:v>最终策划案.md:31-47、91-105、337-339、1011-1060、1141-1145；1、4.1、4.11、7.2、8.1</x:v>
      </x:c>
      <x:c r="F7" s="18" t="str"/>
    </x:row>
    <x:row r="8" ht="26.399999618530273" hidden="0" customHeight="1">
      <x:c r="A8" s="19" t="n">
        <x:v>5</x:v>
      </x:c>
      <x:c r="B8" s="17" t="str">
        <x:v>primary_release_target</x:v>
      </x:c>
      <x:c r="C8" s="17" t="str">
        <x:v>"Web Mobile"</x:v>
      </x:c>
      <x:c r="D8" s="17" t="str">
        <x:v>confirmed</x:v>
      </x:c>
      <x:c r="E8" s="18" t="str">
        <x:v>最终策划案.md:31-47、91-105、337-339、1011-1060、1141-1145；1、4.1、4.11、7.2、8.1</x:v>
      </x:c>
      <x:c r="F8" s="18" t="str"/>
    </x:row>
    <x:row r="9" ht="26.399999618530273" hidden="0" customHeight="1">
      <x:c r="A9" s="19" t="n">
        <x:v>6</x:v>
      </x:c>
      <x:c r="B9" s="17" t="str">
        <x:v>client_engine</x:v>
      </x:c>
      <x:c r="C9" s="17" t="str">
        <x:v>"Cocos Creator 3.8.8"</x:v>
      </x:c>
      <x:c r="D9" s="17" t="str">
        <x:v>confirmed</x:v>
      </x:c>
      <x:c r="E9" s="18" t="str">
        <x:v>最终策划案.md:31-47、91-105、337-339、1011-1060、1141-1145；1、4.1、4.11、7.2、8.1</x:v>
      </x:c>
      <x:c r="F9" s="18" t="str"/>
    </x:row>
    <x:row r="10" ht="26.399999618530273" hidden="0" customHeight="1">
      <x:c r="A10" s="19" t="n">
        <x:v>7</x:v>
      </x:c>
      <x:c r="B10" s="17" t="str">
        <x:v>ordinary_map_entity_limit</x:v>
      </x:c>
      <x:c r="C10" s="17" t="str">
        <x:v>10</x:v>
      </x:c>
      <x:c r="D10" s="17" t="str">
        <x:v>confirmed</x:v>
      </x:c>
      <x:c r="E10" s="18" t="str">
        <x:v>最终策划案.md:31-47、91-105、337-339、1011-1060、1141-1145；1、4.1、4.11、7.2、8.1</x:v>
      </x:c>
      <x:c r="F10" s="18" t="str"/>
    </x:row>
    <x:row r="11" ht="26.399999618530273" hidden="0" customHeight="1">
      <x:c r="A11" s="19" t="n">
        <x:v>8</x:v>
      </x:c>
      <x:c r="B11" s="17" t="str">
        <x:v>ordinary_map_role_limit</x:v>
      </x:c>
      <x:c r="C11" s="17" t="str">
        <x:v>1</x:v>
      </x:c>
      <x:c r="D11" s="17" t="str">
        <x:v>confirmed</x:v>
      </x:c>
      <x:c r="E11" s="18" t="str">
        <x:v>最终策划案.md:31-47、91-105、337-339、1011-1060、1141-1145；1、4.1、4.11、7.2、8.1</x:v>
      </x:c>
      <x:c r="F11" s="18" t="str"/>
    </x:row>
    <x:row r="12" ht="26.399999618530273" hidden="0" customHeight="1">
      <x:c r="A12" s="19" t="n">
        <x:v>9</x:v>
      </x:c>
      <x:c r="B12" s="17" t="str">
        <x:v>ordinary_map_pet_limit</x:v>
      </x:c>
      <x:c r="C12" s="17" t="str">
        <x:v>1</x:v>
      </x:c>
      <x:c r="D12" s="17" t="str">
        <x:v>confirmed</x:v>
      </x:c>
      <x:c r="E12" s="18" t="str">
        <x:v>最终策划案.md:31-47、91-105、337-339、1011-1060、1141-1145；1、4.1、4.11、7.2、8.1</x:v>
      </x:c>
      <x:c r="F12" s="18" t="str"/>
    </x:row>
    <x:row r="13" ht="26.399999618530273" hidden="0" customHeight="1">
      <x:c r="A13" s="19" t="n">
        <x:v>10</x:v>
      </x:c>
      <x:c r="B13" s="17" t="str">
        <x:v>ordinary_monsters_min</x:v>
      </x:c>
      <x:c r="C13" s="17" t="str">
        <x:v>1</x:v>
      </x:c>
      <x:c r="D13" s="17" t="str">
        <x:v>confirmed</x:v>
      </x:c>
      <x:c r="E13" s="18" t="str">
        <x:v>最终策划案.md:31-47、91-105、337-339、1011-1060、1141-1145；1、4.1、4.11、7.2、8.1</x:v>
      </x:c>
      <x:c r="F13" s="18" t="str"/>
    </x:row>
    <x:row r="14" ht="26.399999618530273" hidden="0" customHeight="1">
      <x:c r="A14" s="19" t="n">
        <x:v>11</x:v>
      </x:c>
      <x:c r="B14" s="17" t="str">
        <x:v>ordinary_monsters_max</x:v>
      </x:c>
      <x:c r="C14" s="17" t="str">
        <x:v>8</x:v>
      </x:c>
      <x:c r="D14" s="17" t="str">
        <x:v>confirmed</x:v>
      </x:c>
      <x:c r="E14" s="18" t="str">
        <x:v>最终策划案.md:31-47、91-105、337-339、1011-1060、1141-1145；1、4.1、4.11、7.2、8.1</x:v>
      </x:c>
      <x:c r="F14" s="18" t="str"/>
    </x:row>
    <x:row r="15" ht="26.399999618530273" hidden="0" customHeight="1">
      <x:c r="A15" s="19" t="n">
        <x:v>12</x:v>
      </x:c>
      <x:c r="B15" s="17" t="str">
        <x:v>ordinary_monsters_default</x:v>
      </x:c>
      <x:c r="C15" s="17" t="str">
        <x:v>1</x:v>
      </x:c>
      <x:c r="D15" s="17" t="str">
        <x:v>confirmed</x:v>
      </x:c>
      <x:c r="E15" s="18" t="str">
        <x:v>最终策划案.md:31-47、91-105、337-339、1011-1060、1141-1145；1、4.1、4.11、7.2、8.1</x:v>
      </x:c>
      <x:c r="F15" s="18" t="str"/>
    </x:row>
    <x:row r="16" ht="26.399999618530273" hidden="0" customHeight="1">
      <x:c r="A16" s="19" t="n">
        <x:v>13</x:v>
      </x:c>
      <x:c r="B16" s="17" t="str">
        <x:v>normal_spawn_respawn_seconds</x:v>
      </x:c>
      <x:c r="C16" s="17" t="str">
        <x:v>10</x:v>
      </x:c>
      <x:c r="D16" s="17" t="str">
        <x:v>confirmed</x:v>
      </x:c>
      <x:c r="E16" s="18" t="str">
        <x:v>最终策划案.md:31-47、91-105、337-339、1011-1060、1141-1145；1、4.1、4.11、7.2、8.1</x:v>
      </x:c>
      <x:c r="F16" s="18" t="str"/>
    </x:row>
    <x:row r="17" ht="26.399999618530273" hidden="0" customHeight="1">
      <x:c r="A17" s="19" t="n">
        <x:v>14</x:v>
      </x:c>
      <x:c r="B17" s="17" t="str">
        <x:v>elite_uses_enemy_slot</x:v>
      </x:c>
      <x:c r="C17" s="17" t="str">
        <x:v>true</x:v>
      </x:c>
      <x:c r="D17" s="17" t="str">
        <x:v>confirmed</x:v>
      </x:c>
      <x:c r="E17" s="18" t="str">
        <x:v>最终策划案.md:31-47、91-105、337-339、1011-1060、1141-1145；1、4.1、4.11、7.2、8.1</x:v>
      </x:c>
      <x:c r="F17" s="18" t="str"/>
    </x:row>
    <x:row r="18" ht="26.399999618530273" hidden="0" customHeight="1">
      <x:c r="A18" s="19" t="n">
        <x:v>15</x:v>
      </x:c>
      <x:c r="B18" s="17" t="str">
        <x:v>ordinary_map_aoi</x:v>
      </x:c>
      <x:c r="C18" s="17" t="str">
        <x:v>false</x:v>
      </x:c>
      <x:c r="D18" s="17" t="str">
        <x:v>confirmed</x:v>
      </x:c>
      <x:c r="E18" s="18" t="str">
        <x:v>最终策划案.md:31-47、91-105、337-339、1011-1060、1141-1145；1、4.1、4.11、7.2、8.1</x:v>
      </x:c>
      <x:c r="F18" s="18" t="str"/>
    </x:row>
    <x:row r="19" ht="26.399999618530273" hidden="0" customHeight="1">
      <x:c r="A19" s="19" t="n">
        <x:v>16</x:v>
      </x:c>
      <x:c r="B19" s="17" t="str">
        <x:v>online_hosting_metering</x:v>
      </x:c>
      <x:c r="C19" s="17" t="str">
        <x:v>false</x:v>
      </x:c>
      <x:c r="D19" s="17" t="str">
        <x:v>confirmed</x:v>
      </x:c>
      <x:c r="E19" s="18" t="str">
        <x:v>最终策划案.md:31-47、91-105、337-339、1011-1060、1141-1145；1、4.1、4.11、7.2、8.1</x:v>
      </x:c>
      <x:c r="F19" s="18" t="str"/>
    </x:row>
    <x:row r="20" ht="26.399999618530273" hidden="0" customHeight="1">
      <x:c r="A20" s="19" t="n">
        <x:v>17</x:v>
      </x:c>
      <x:c r="B20" s="17" t="str">
        <x:v>maintenance_hosting_metering</x:v>
      </x:c>
      <x:c r="C20" s="17" t="str">
        <x:v>false</x:v>
      </x:c>
      <x:c r="D20" s="17" t="str">
        <x:v>confirmed</x:v>
      </x:c>
      <x:c r="E20" s="18" t="str">
        <x:v>最终策划案.md:31-47、91-105、337-339、1011-1060、1141-1145；1、4.1、4.11、7.2、8.1</x:v>
      </x:c>
      <x:c r="F20" s="18" t="str"/>
    </x:row>
    <x:row r="21" ht="26.399999618530273" hidden="0" customHeight="1">
      <x:c r="A21" s="19" t="n">
        <x:v>18</x:v>
      </x:c>
      <x:c r="B21" s="17" t="str">
        <x:v>failure_hosting_metering</x:v>
      </x:c>
      <x:c r="C21" s="17" t="str">
        <x:v>false</x:v>
      </x:c>
      <x:c r="D21" s="17" t="str">
        <x:v>confirmed</x:v>
      </x:c>
      <x:c r="E21" s="18" t="str">
        <x:v>最终策划案.md:31-47、91-105、337-339、1011-1060、1141-1145；1、4.1、4.11、7.2、8.1</x:v>
      </x:c>
      <x:c r="F21" s="18" t="str"/>
    </x:row>
    <x:row r="22" ht="26.399999618530273" hidden="0" customHeight="1">
      <x:c r="A22" s="19" t="n">
        <x:v>22</x:v>
      </x:c>
      <x:c r="B22" s="17" t="str">
        <x:v>out_of_current_scope</x:v>
      </x:c>
      <x:c r="C22" s="17" t="str">
        <x:v>["field_free_pk","red_name","guild","siege","mounts","direct_trade","player_mail","cash_withdrawal"]</x:v>
      </x:c>
      <x:c r="D22" s="17" t="str">
        <x:v>confirmed</x:v>
      </x:c>
      <x:c r="E22" s="18" t="str">
        <x:v>最终策划案.md:31-47、91-105、337-339、1011-1060、1141-1145；1、4.1、4.11、7.2、8.1</x:v>
      </x:c>
      <x:c r="F22" s="18" t="str"/>
    </x:row>
    <x:row r="23" ht="26.399999618530273" hidden="0" customHeight="1">
      <x:c r="A23" s="19" t="n">
        <x:v>23</x:v>
      </x:c>
      <x:c r="B23" s="17" t="str">
        <x:v>deferred_after_economy_validation</x:v>
      </x:c>
      <x:c r="C23" s="17" t="str">
        <x:v>["investment_monthly","investment_lifetime"]</x:v>
      </x:c>
      <x:c r="D23" s="17" t="str">
        <x:v>confirmed</x:v>
      </x:c>
      <x:c r="E23" s="18" t="str">
        <x:v>最终策划案.md:31-47、91-105、337-339、1011-1060、1141-1145；1、4.1、4.11、7.2、8.1</x:v>
      </x:c>
      <x:c r="F23" s="18" t="str"/>
    </x:row>
    <x:row r="24" ht="26.399999618530273" hidden="0" customHeight="1">
      <x:c r="A24" s="19" t="n">
        <x:v>24</x:v>
      </x:c>
      <x:c r="B24" s="17" t="str">
        <x:v>complete_three_job_skills_in_p0</x:v>
      </x:c>
      <x:c r="C24" s="17" t="str">
        <x:v>true</x:v>
      </x:c>
      <x:c r="D24" s="17" t="str">
        <x:v>confirmed</x:v>
      </x:c>
      <x:c r="E24" s="18" t="str">
        <x:v>最终策划案.md:31-47、91-105、337-339、1011-1060、1141-1145；1、4.1、4.11、7.2、8.1</x:v>
      </x:c>
      <x:c r="F24" s="18" t="str"/>
    </x:row>
    <x:row r="25" ht="26.399999618530273" hidden="0" customHeight="1">
      <x:c r="A25" s="19" t="n">
        <x:v>25</x:v>
      </x:c>
      <x:c r="B25" s="17" t="str">
        <x:v>random_legendary_equipment_drop</x:v>
      </x:c>
      <x:c r="C25" s="17" t="str">
        <x:v>false</x:v>
      </x:c>
      <x:c r="D25" s="17" t="str">
        <x:v>confirmed</x:v>
      </x:c>
      <x:c r="E25" s="18" t="str">
        <x:v>最终策划案.md:31-47、91-105、337-339、1011-1060、1141-1145；1、4.1、4.11、7.2、8.1</x:v>
      </x:c>
      <x:c r="F25" s="18" t="str"/>
    </x:row>
    <x:row r="26" ht="26.399999618530273" hidden="0" customHeight="1">
      <x:c r="A26" s="19" t="n">
        <x:v>26</x:v>
      </x:c>
      <x:c r="B26" s="17" t="str">
        <x:v>legendary_equipment_source</x:v>
      </x:c>
      <x:c r="C26" s="17" t="str">
        <x:v>"blueprint_crafting"</x:v>
      </x:c>
      <x:c r="D26" s="17" t="str">
        <x:v>confirmed</x:v>
      </x:c>
      <x:c r="E26" s="18" t="str">
        <x:v>最终策划案.md:31-47、91-105、337-339、1011-1060、1141-1145；1、4.1、4.11、7.2、8.1</x:v>
      </x:c>
      <x:c r="F26" s="18" t="str"/>
    </x:row>
  </x:sheetData>
  <x:conditionalFormatting sqref="A4:A1003">
    <x:cfRule type="expression" dxfId="47" priority="1">
      <x:formula>AND($A4&lt;&gt;"",ISBLANK(A4))</x:formula>
    </x:cfRule>
  </x:conditionalFormatting>
  <x:conditionalFormatting sqref="B4:B1003">
    <x:cfRule type="expression" dxfId="48" priority="2">
      <x:formula>AND($A4&lt;&gt;"",ISBLANK(B4))</x:formula>
    </x:cfRule>
  </x:conditionalFormatting>
  <x:conditionalFormatting sqref="C4:C1003">
    <x:cfRule type="expression" dxfId="49" priority="3">
      <x:formula>AND($A4&lt;&gt;"",ISBLANK(C4))</x:formula>
    </x:cfRule>
  </x:conditionalFormatting>
  <x:conditionalFormatting sqref="D4:D1003">
    <x:cfRule type="containsText" dxfId="50" priority="4" operator="containsText" text="candidate"/>
    <x:cfRule type="containsText" dxfId="51" priority="5" operator="containsText" text="unverified"/>
    <x:cfRule type="containsText" dxfId="52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2</x:v>
      </x:c>
      <x:c r="B4" s="17" t="str">
        <x:v>shared_warehouse_slots</x:v>
      </x:c>
      <x:c r="C4" s="17" t="str">
        <x:v>50</x:v>
      </x:c>
      <x:c r="D4" s="17" t="str">
        <x:v>confirmed</x:v>
      </x:c>
      <x:c r="E4" s="18" t="str">
        <x:v>最终策划案.md:109-129、959-1010；4.2、7.1</x:v>
      </x:c>
      <x:c r="F4" s="18" t="str"/>
    </x:row>
    <x:row r="5" ht="15" hidden="0" customHeight="1">
      <x:c r="A5" s="19" t="n">
        <x:v>3</x:v>
      </x:c>
      <x:c r="B5" s="17" t="str">
        <x:v>shared_warehouse_requires_active_privilege</x:v>
      </x:c>
      <x:c r="C5" s="17" t="str">
        <x:v>true</x:v>
      </x:c>
      <x:c r="D5" s="17" t="str">
        <x:v>confirmed</x:v>
      </x:c>
      <x:c r="E5" s="18" t="str">
        <x:v>最终策划案.md:109-129、959-1010；4.2、7.1</x:v>
      </x:c>
      <x:c r="F5" s="18" t="str"/>
    </x:row>
    <x:row r="6" ht="15" hidden="0" customHeight="1">
      <x:c r="A6" s="19" t="n">
        <x:v>4</x:v>
      </x:c>
      <x:c r="B6" s="17" t="str">
        <x:v>shared_warehouse_allowed</x:v>
      </x:c>
      <x:c r="C6" s="17" t="str">
        <x:v>["unbound_items","gold","ingot"]</x:v>
      </x:c>
      <x:c r="D6" s="17" t="str">
        <x:v>confirmed</x:v>
      </x:c>
      <x:c r="E6" s="18" t="str">
        <x:v>最终策划案.md:109-129、959-1010；4.2、7.1</x:v>
      </x:c>
      <x:c r="F6" s="18" t="str"/>
    </x:row>
    <x:row r="7" ht="15" hidden="0" customHeight="1">
      <x:c r="A7" s="19" t="n">
        <x:v>5</x:v>
      </x:c>
      <x:c r="B7" s="17" t="str">
        <x:v>shared_warehouse_origin_isolation_survives_merge</x:v>
      </x:c>
      <x:c r="C7" s="17" t="str">
        <x:v>true</x:v>
      </x:c>
      <x:c r="D7" s="17" t="str">
        <x:v>confirmed</x:v>
      </x:c>
      <x:c r="E7" s="18" t="str">
        <x:v>最终策划案.md:109-129、959-1010；4.2、7.1</x:v>
      </x:c>
      <x:c r="F7" s="18" t="str"/>
    </x:row>
    <x:row r="8" ht="15" hidden="0" customHeight="1">
      <x:c r="A8" s="19" t="n">
        <x:v>6</x:v>
      </x:c>
      <x:c r="B8" s="17" t="str">
        <x:v>shared_warehouse_modify_items</x:v>
      </x:c>
      <x:c r="C8" s="17" t="str">
        <x:v>false</x:v>
      </x:c>
      <x:c r="D8" s="17" t="str">
        <x:v>confirmed</x:v>
      </x:c>
      <x:c r="E8" s="18" t="str">
        <x:v>最终策划案.md:109-129、959-1010；4.2、7.1</x:v>
      </x:c>
      <x:c r="F8" s="18" t="str"/>
    </x:row>
    <x:row r="9" ht="15" hidden="0" customHeight="1">
      <x:c r="A9" s="19" t="n">
        <x:v>7</x:v>
      </x:c>
      <x:c r="B9" s="17" t="str">
        <x:v>personal_warehouse_initial_slots</x:v>
      </x:c>
      <x:c r="C9" s="17" t="str">
        <x:v>30</x:v>
      </x:c>
      <x:c r="D9" s="17" t="str">
        <x:v>confirmed</x:v>
      </x:c>
      <x:c r="E9" s="18" t="str">
        <x:v>最终策划案.md:109-129、959-1010；4.2、7.1</x:v>
      </x:c>
      <x:c r="F9" s="18" t="str"/>
    </x:row>
    <x:row r="10" ht="15" hidden="0" customHeight="1">
      <x:c r="A10" s="19" t="n">
        <x:v>8</x:v>
      </x:c>
      <x:c r="B10" s="17" t="str">
        <x:v>personal_warehouse_page_slots</x:v>
      </x:c>
      <x:c r="C10" s="17" t="str">
        <x:v>30</x:v>
      </x:c>
      <x:c r="D10" s="17" t="str">
        <x:v>confirmed</x:v>
      </x:c>
      <x:c r="E10" s="18" t="str">
        <x:v>最终策划案.md:109-129、959-1010；4.2、7.1</x:v>
      </x:c>
      <x:c r="F10" s="18" t="str"/>
    </x:row>
    <x:row r="11" ht="15" hidden="0" customHeight="1">
      <x:c r="A11" s="19" t="n">
        <x:v>9</x:v>
      </x:c>
      <x:c r="B11" s="17" t="str">
        <x:v>personal_warehouse_page_price_ingot_u</x:v>
      </x:c>
      <x:c r="C11" s="17" t="str">
        <x:v>30000</x:v>
      </x:c>
      <x:c r="D11" s="17" t="str">
        <x:v>confirmed</x:v>
      </x:c>
      <x:c r="E11" s="18" t="str">
        <x:v>最终策划案.md:109-129、959-1010；4.2、7.1</x:v>
      </x:c>
      <x:c r="F11" s="18" t="str"/>
    </x:row>
    <x:row r="12" ht="15" hidden="0" customHeight="1">
      <x:c r="A12" s="19" t="n">
        <x:v>10</x:v>
      </x:c>
      <x:c r="B12" s="17" t="str">
        <x:v>personal_warehouse_stores_currency</x:v>
      </x:c>
      <x:c r="C12" s="17" t="str">
        <x:v>false</x:v>
      </x:c>
      <x:c r="D12" s="17" t="str">
        <x:v>confirmed</x:v>
      </x:c>
      <x:c r="E12" s="18" t="str">
        <x:v>最终策划案.md:109-129、959-1010；4.2、7.1</x:v>
      </x:c>
      <x:c r="F12" s="18" t="str"/>
    </x:row>
    <x:row r="13" ht="15" hidden="0" customHeight="1">
      <x:c r="A13" s="19" t="n">
        <x:v>11</x:v>
      </x:c>
      <x:c r="B13" s="17" t="str">
        <x:v>personal_warehouse_accepts_bound_items</x:v>
      </x:c>
      <x:c r="C13" s="17" t="str">
        <x:v>true</x:v>
      </x:c>
      <x:c r="D13" s="17" t="str">
        <x:v>confirmed</x:v>
      </x:c>
      <x:c r="E13" s="18" t="str">
        <x:v>最终策划案.md:109-129、959-1010；4.2、7.1</x:v>
      </x:c>
      <x:c r="F13" s="18" t="str"/>
    </x:row>
    <x:row r="14" ht="15" hidden="0" customHeight="1">
      <x:c r="A14" s="19" t="n">
        <x:v>12</x:v>
      </x:c>
      <x:c r="B14" s="17" t="str">
        <x:v>allow_shared_warehouse_normal_fine_unbound_equipment</x:v>
      </x:c>
      <x:c r="C14" s="17" t="str">
        <x:v>true</x:v>
      </x:c>
      <x:c r="D14" s="17" t="str">
        <x:v>confirmed</x:v>
      </x:c>
      <x:c r="E14" s="18" t="str">
        <x:v>最终策划案.md:109-129、959-1010；4.2、7.1</x:v>
      </x:c>
      <x:c r="F14" s="18" t="str"/>
    </x:row>
    <x:row r="15" ht="15" hidden="0" customHeight="1">
      <x:c r="A15" s="19" t="n">
        <x:v>14</x:v>
      </x:c>
      <x:c r="B15" s="17" t="str">
        <x:v>pending_reward_queue_capacity</x:v>
      </x:c>
      <x:c r="C15" s="17"/>
      <x:c r="D15" s="17" t="str">
        <x:v>unverified</x:v>
      </x:c>
      <x:c r="E15" s="18" t="str">
        <x:v>最终策划案.md:109-129、959-1010；4.2、7.1</x:v>
      </x:c>
      <x:c r="F15" s="18" t="str">
        <x:v>待配置有界待领取队列上限。</x:v>
      </x:c>
    </x:row>
    <x:row r="16" ht="15" hidden="0" customHeight="1">
      <x:c r="A16" s="19" t="n">
        <x:v>15</x:v>
      </x:c>
      <x:c r="B16" s="17" t="str">
        <x:v>backpack_initial_slots</x:v>
      </x:c>
      <x:c r="C16" s="17"/>
      <x:c r="D16" s="17" t="str">
        <x:v>unverified</x:v>
      </x:c>
      <x:c r="E16" s="18" t="str">
        <x:v>最终策划案.md:109-129、959-1010；4.2、7.1</x:v>
      </x:c>
      <x:c r="F16" s="18" t="str">
        <x:v>策划未给出背包初始容量，不能沿用来源服。</x:v>
      </x:c>
    </x:row>
  </x:sheetData>
  <x:conditionalFormatting sqref="A4:A1003">
    <x:cfRule type="expression" dxfId="53" priority="1">
      <x:formula>AND($A4&lt;&gt;"",ISBLANK(A4))</x:formula>
    </x:cfRule>
  </x:conditionalFormatting>
  <x:conditionalFormatting sqref="B4:B1003">
    <x:cfRule type="expression" dxfId="54" priority="2">
      <x:formula>AND($A4&lt;&gt;"",ISBLANK(B4))</x:formula>
    </x:cfRule>
  </x:conditionalFormatting>
  <x:conditionalFormatting sqref="C4:C1003">
    <x:cfRule type="expression" dxfId="55" priority="3">
      <x:formula>AND($A4&lt;&gt;"",ISBLANK(C4))</x:formula>
    </x:cfRule>
  </x:conditionalFormatting>
  <x:conditionalFormatting sqref="D4:D1003">
    <x:cfRule type="containsText" dxfId="56" priority="4" operator="containsText" text="candidate"/>
    <x:cfRule type="containsText" dxfId="57" priority="5" operator="containsText" text="unverified"/>
    <x:cfRule type="containsText" dxfId="58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9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事件键</x:v>
      </x:c>
      <x:c r="C1" s="7" t="str">
        <x:v>判定时刻</x:v>
      </x:c>
      <x:c r="D1" s="7" t="str">
        <x:v>绑定策略</x:v>
      </x:c>
      <x:c r="E1" s="7" t="str">
        <x:v>聚合全部实际输入</x:v>
      </x:c>
      <x:c r="F1" s="7" t="str">
        <x:v>领取时重新判绑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event_key</x:v>
      </x:c>
      <x:c r="C2" s="12" t="str">
        <x:v>decision_time</x:v>
      </x:c>
      <x:c r="D2" s="12" t="str">
        <x:v>binding_policy</x:v>
      </x:c>
      <x:c r="E2" s="12" t="str">
        <x:v>all_actual_inputs</x:v>
      </x:c>
      <x:c r="F2" s="12" t="str">
        <x:v>rejudge_on_claim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server</x:v>
      </x:c>
      <x:c r="B3" s="15" t="str">
        <x:v>string / 必填 / server</x:v>
      </x:c>
      <x:c r="C3" s="15" t="str">
        <x:v>string / 必填 / server</x:v>
      </x:c>
      <x:c r="D3" s="15" t="str">
        <x:v>string / 必填 / server</x:v>
      </x:c>
      <x:c r="E3" s="15" t="str">
        <x:v>bool / 必填 / server</x:v>
      </x:c>
      <x:c r="F3" s="15" t="str">
        <x:v>bool / 必填 / server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7" t="str">
        <x:v>monster_kill</x:v>
      </x:c>
      <x:c r="C4" s="17" t="str">
        <x:v>kill_time</x:v>
      </x:c>
      <x:c r="D4" s="17" t="str">
        <x:v>privilege_snapshot</x:v>
      </x:c>
      <x:c r="E4" s="9" t="b">
        <x:v>0</x:v>
      </x:c>
      <x:c r="F4" s="9" t="b">
        <x:v>0</x:v>
      </x:c>
      <x:c r="G4" s="17" t="str">
        <x:v>confirmed</x:v>
      </x:c>
      <x:c r="H4" s="18" t="str">
        <x:v>最终策划案.md:248-278；4.7</x:v>
      </x:c>
      <x:c r="I4" s="18" t="str"/>
    </x:row>
    <x:row r="5" ht="26.399999618530273" hidden="0" customHeight="1">
      <x:c r="A5" s="19" t="n">
        <x:v>2</x:v>
      </x:c>
      <x:c r="B5" s="17" t="str">
        <x:v>world_boss_reward</x:v>
      </x:c>
      <x:c r="C5" s="17" t="str">
        <x:v>boss_kill_after_qualification</x:v>
      </x:c>
      <x:c r="D5" s="17" t="str">
        <x:v>per_role_privilege_snapshot</x:v>
      </x:c>
      <x:c r="E5" s="9" t="b">
        <x:v>0</x:v>
      </x:c>
      <x:c r="F5" s="9" t="b">
        <x:v>0</x:v>
      </x:c>
      <x:c r="G5" s="17" t="str">
        <x:v>confirmed</x:v>
      </x:c>
      <x:c r="H5" s="18" t="str">
        <x:v>最终策划案.md:248-278；4.7</x:v>
      </x:c>
      <x:c r="I5" s="18" t="str"/>
    </x:row>
    <x:row r="6" ht="15" hidden="0" customHeight="1">
      <x:c r="A6" s="19" t="n">
        <x:v>3</x:v>
      </x:c>
      <x:c r="B6" s="17" t="str">
        <x:v>mining_success</x:v>
      </x:c>
      <x:c r="C6" s="17" t="str">
        <x:v>ore_success_time</x:v>
      </x:c>
      <x:c r="D6" s="17" t="str">
        <x:v>privilege_snapshot</x:v>
      </x:c>
      <x:c r="E6" s="9" t="b">
        <x:v>0</x:v>
      </x:c>
      <x:c r="F6" s="9" t="b">
        <x:v>0</x:v>
      </x:c>
      <x:c r="G6" s="17" t="str">
        <x:v>confirmed</x:v>
      </x:c>
      <x:c r="H6" s="18" t="str">
        <x:v>最终策划案.md:248-278；4.7</x:v>
      </x:c>
      <x:c r="I6" s="18" t="str"/>
    </x:row>
    <x:row r="7" ht="15" hidden="0" customHeight="1">
      <x:c r="A7" s="19" t="n">
        <x:v>4</x:v>
      </x:c>
      <x:c r="B7" s="17" t="str">
        <x:v>recycle</x:v>
      </x:c>
      <x:c r="C7" s="17" t="str">
        <x:v>asset_transaction</x:v>
      </x:c>
      <x:c r="D7" s="17" t="str">
        <x:v>inherit_inputs</x:v>
      </x:c>
      <x:c r="E7" s="9" t="b">
        <x:v>1</x:v>
      </x:c>
      <x:c r="F7" s="9" t="b">
        <x:v>0</x:v>
      </x:c>
      <x:c r="G7" s="17" t="str">
        <x:v>confirmed</x:v>
      </x:c>
      <x:c r="H7" s="18" t="str">
        <x:v>最终策划案.md:248-278；4.7</x:v>
      </x:c>
      <x:c r="I7" s="18" t="str"/>
    </x:row>
    <x:row r="8" ht="26.399999618530273" hidden="0" customHeight="1">
      <x:c r="A8" s="19" t="n">
        <x:v>5</x:v>
      </x:c>
      <x:c r="B8" s="17" t="str">
        <x:v>craft</x:v>
      </x:c>
      <x:c r="C8" s="17" t="str">
        <x:v>consume_inputs_transaction</x:v>
      </x:c>
      <x:c r="D8" s="17" t="str">
        <x:v>any_bound_input_binds_to_operator</x:v>
      </x:c>
      <x:c r="E8" s="9" t="b">
        <x:v>1</x:v>
      </x:c>
      <x:c r="F8" s="9" t="b">
        <x:v>0</x:v>
      </x:c>
      <x:c r="G8" s="17" t="str">
        <x:v>confirmed</x:v>
      </x:c>
      <x:c r="H8" s="18" t="str">
        <x:v>最终策划案.md:248-278；4.7</x:v>
      </x:c>
      <x:c r="I8" s="18" t="str"/>
    </x:row>
    <x:row r="9" ht="39.599998474121094" hidden="0" customHeight="1">
      <x:c r="A9" s="19" t="n">
        <x:v>6</x:v>
      </x:c>
      <x:c r="B9" s="17" t="str">
        <x:v>refine</x:v>
      </x:c>
      <x:c r="C9" s="17" t="str">
        <x:v>generate_preview_and_consume_transaction</x:v>
      </x:c>
      <x:c r="D9" s="17" t="str">
        <x:v>any_bound_input_binds_to_operator_even_discard</x:v>
      </x:c>
      <x:c r="E9" s="9" t="b">
        <x:v>1</x:v>
      </x:c>
      <x:c r="F9" s="9" t="b">
        <x:v>0</x:v>
      </x:c>
      <x:c r="G9" s="17" t="str">
        <x:v>confirmed</x:v>
      </x:c>
      <x:c r="H9" s="18" t="str">
        <x:v>最终策划案.md:248-278；4.7</x:v>
      </x:c>
      <x:c r="I9" s="18" t="str"/>
    </x:row>
    <x:row r="10" ht="26.399999618530273" hidden="0" customHeight="1">
      <x:c r="A10" s="19" t="n">
        <x:v>7</x:v>
      </x:c>
      <x:c r="B10" s="17" t="str">
        <x:v>blessing_oil</x:v>
      </x:c>
      <x:c r="C10" s="17" t="str">
        <x:v>consume_oil_and_roll_transaction</x:v>
      </x:c>
      <x:c r="D10" s="17" t="str">
        <x:v>any_bound_input_binds_even_failure_or_pity</x:v>
      </x:c>
      <x:c r="E10" s="9" t="b">
        <x:v>1</x:v>
      </x:c>
      <x:c r="F10" s="9" t="b">
        <x:v>0</x:v>
      </x:c>
      <x:c r="G10" s="17" t="str">
        <x:v>confirmed</x:v>
      </x:c>
      <x:c r="H10" s="18" t="str">
        <x:v>最终策划案.md:248-278；4.7</x:v>
      </x:c>
      <x:c r="I10" s="18" t="str"/>
    </x:row>
    <x:row r="11" ht="26.399999618530273" hidden="0" customHeight="1">
      <x:c r="A11" s="19" t="n">
        <x:v>8</x:v>
      </x:c>
      <x:c r="B11" s="17" t="str">
        <x:v>system_reward</x:v>
      </x:c>
      <x:c r="C11" s="17" t="str">
        <x:v>configured_source_event</x:v>
      </x:c>
      <x:c r="D11" s="17" t="str">
        <x:v>source_specific</x:v>
      </x:c>
      <x:c r="E11" s="9" t="b">
        <x:v>0</x:v>
      </x:c>
      <x:c r="F11" s="9" t="b">
        <x:v>0</x:v>
      </x:c>
      <x:c r="G11" s="17" t="str">
        <x:v>confirmed</x:v>
      </x:c>
      <x:c r="H11" s="18" t="str">
        <x:v>最终策划案.md:248-278；4.7</x:v>
      </x:c>
      <x:c r="I11" s="18" t="str"/>
    </x:row>
    <x:row r="12" ht="26.399999618530273" hidden="0" customHeight="1">
      <x:c r="A12" s="19" t="n">
        <x:v>9</x:v>
      </x:c>
      <x:c r="B12" s="17" t="str">
        <x:v>deferred_claim</x:v>
      </x:c>
      <x:c r="C12" s="17" t="str">
        <x:v>display_or_claim</x:v>
      </x:c>
      <x:c r="D12" s="17" t="str">
        <x:v>preserve_original_event_binding</x:v>
      </x:c>
      <x:c r="E12" s="9" t="b">
        <x:v>0</x:v>
      </x:c>
      <x:c r="F12" s="9" t="b">
        <x:v>0</x:v>
      </x:c>
      <x:c r="G12" s="17" t="str">
        <x:v>confirmed</x:v>
      </x:c>
      <x:c r="H12" s="18" t="str">
        <x:v>最终策划案.md:248-278；4.7</x:v>
      </x:c>
      <x:c r="I12" s="18" t="str"/>
    </x:row>
  </x:sheetData>
  <x:conditionalFormatting sqref="A4:A1003">
    <x:cfRule type="expression" dxfId="59" priority="1">
      <x:formula>AND($A4&lt;&gt;"",ISBLANK(A4))</x:formula>
    </x:cfRule>
  </x:conditionalFormatting>
  <x:conditionalFormatting sqref="B4:B1003">
    <x:cfRule type="expression" dxfId="60" priority="2">
      <x:formula>AND($A4&lt;&gt;"",ISBLANK(B4))</x:formula>
    </x:cfRule>
  </x:conditionalFormatting>
  <x:conditionalFormatting sqref="C4:C1003">
    <x:cfRule type="expression" dxfId="61" priority="3">
      <x:formula>AND($A4&lt;&gt;"",ISBLANK(C4))</x:formula>
    </x:cfRule>
  </x:conditionalFormatting>
  <x:conditionalFormatting sqref="D4:D1003">
    <x:cfRule type="expression" dxfId="62" priority="4">
      <x:formula>AND($A4&lt;&gt;"",ISBLANK(D4))</x:formula>
    </x:cfRule>
  </x:conditionalFormatting>
  <x:conditionalFormatting sqref="E4:E1003">
    <x:cfRule type="expression" dxfId="63" priority="5">
      <x:formula>AND($A4&lt;&gt;"",ISBLANK(E4))</x:formula>
    </x:cfRule>
  </x:conditionalFormatting>
  <x:conditionalFormatting sqref="F4:F1003">
    <x:cfRule type="expression" dxfId="64" priority="6">
      <x:formula>AND($A4&lt;&gt;"",ISBLANK(F4))</x:formula>
    </x:cfRule>
  </x:conditionalFormatting>
  <x:conditionalFormatting sqref="G4:G1003">
    <x:cfRule type="containsText" dxfId="65" priority="7" operator="containsText" text="candidate"/>
    <x:cfRule type="containsText" dxfId="66" priority="8" operator="containsText" text="unverified"/>
    <x:cfRule type="containsText" dxfId="67" priority="9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applicable_panels</x:v>
      </x:c>
      <x:c r="C4" s="17" t="str">
        <x:v>["refine","blessing_oil","craft"]</x:v>
      </x:c>
      <x:c r="D4" s="17" t="str">
        <x:v>confirmed</x:v>
      </x:c>
      <x:c r="E4" s="18" t="str">
        <x:v>最终策划案.md:264-278；4.7</x:v>
      </x:c>
      <x:c r="F4" s="18" t="str"/>
    </x:row>
    <x:row r="5" ht="15" hidden="0" customHeight="1">
      <x:c r="A5" s="19" t="n">
        <x:v>2</x:v>
      </x:c>
      <x:c r="B5" s="17" t="str">
        <x:v>default_allow_bound</x:v>
      </x:c>
      <x:c r="C5" s="17" t="str">
        <x:v>false</x:v>
      </x:c>
      <x:c r="D5" s="17" t="str">
        <x:v>confirmed</x:v>
      </x:c>
      <x:c r="E5" s="18" t="str">
        <x:v>最终策划案.md:264-278；4.7</x:v>
      </x:c>
      <x:c r="F5" s="18" t="str"/>
    </x:row>
    <x:row r="6" ht="15" hidden="0" customHeight="1">
      <x:c r="A6" s="19" t="n">
        <x:v>3</x:v>
      </x:c>
      <x:c r="B6" s="17" t="str">
        <x:v>enable_confirmation_count</x:v>
      </x:c>
      <x:c r="C6" s="17" t="str">
        <x:v>2</x:v>
      </x:c>
      <x:c r="D6" s="17" t="str">
        <x:v>confirmed</x:v>
      </x:c>
      <x:c r="E6" s="18" t="str">
        <x:v>最终策划案.md:264-278；4.7</x:v>
      </x:c>
      <x:c r="F6" s="18" t="str"/>
    </x:row>
    <x:row r="7" ht="15" hidden="0" customHeight="1">
      <x:c r="A7" s="19" t="n">
        <x:v>4</x:v>
      </x:c>
      <x:c r="B7" s="17" t="str">
        <x:v>confirmation_scope</x:v>
      </x:c>
      <x:c r="C7" s="17" t="str">
        <x:v>"current_panel_session"</x:v>
      </x:c>
      <x:c r="D7" s="17" t="str">
        <x:v>confirmed</x:v>
      </x:c>
      <x:c r="E7" s="18" t="str">
        <x:v>最终策划案.md:264-278；4.7</x:v>
      </x:c>
      <x:c r="F7" s="18" t="str"/>
    </x:row>
    <x:row r="8" ht="26.399999618530273" hidden="0" customHeight="1">
      <x:c r="A8" s="19" t="n">
        <x:v>5</x:v>
      </x:c>
      <x:c r="B8" s="17" t="str">
        <x:v>reset_events</x:v>
      </x:c>
      <x:c r="C8" s="17" t="str">
        <x:v>["panel_reopen","leave_function_and_return","role_switch","reconnect","client_reload"]</x:v>
      </x:c>
      <x:c r="D8" s="17" t="str">
        <x:v>confirmed</x:v>
      </x:c>
      <x:c r="E8" s="18" t="str">
        <x:v>最终策划案.md:264-278；4.7</x:v>
      </x:c>
      <x:c r="F8" s="18" t="str"/>
    </x:row>
    <x:row r="9" ht="15" hidden="0" customHeight="1">
      <x:c r="A9" s="19" t="n">
        <x:v>6</x:v>
      </x:c>
      <x:c r="B9" s="17" t="str">
        <x:v>preserve_events</x:v>
      </x:c>
      <x:c r="C9" s="17" t="str">
        <x:v>["open_child_detail","open_help","change_target_in_same_panel"]</x:v>
      </x:c>
      <x:c r="D9" s="17" t="str">
        <x:v>confirmed</x:v>
      </x:c>
      <x:c r="E9" s="18" t="str">
        <x:v>最终策划案.md:264-278；4.7</x:v>
      </x:c>
      <x:c r="F9" s="18" t="str"/>
    </x:row>
    <x:row r="10" ht="15" hidden="0" customHeight="1">
      <x:c r="A10" s="19" t="n">
        <x:v>7</x:v>
      </x:c>
      <x:c r="B10" s="17" t="str">
        <x:v>disabled_insufficient_unbound</x:v>
      </x:c>
      <x:c r="C10" s="17" t="str">
        <x:v>"stop_without_bound_fallback"</x:v>
      </x:c>
      <x:c r="D10" s="17" t="str">
        <x:v>confirmed</x:v>
      </x:c>
      <x:c r="E10" s="18" t="str">
        <x:v>最终策划案.md:264-278；4.7</x:v>
      </x:c>
      <x:c r="F10" s="18" t="str"/>
    </x:row>
    <x:row r="11" ht="15" hidden="0" customHeight="1">
      <x:c r="A11" s="19" t="n">
        <x:v>8</x:v>
      </x:c>
      <x:c r="B11" s="17" t="str">
        <x:v>enabled_debit_priority</x:v>
      </x:c>
      <x:c r="C11" s="17" t="str">
        <x:v>"bound_first_then_unbound"</x:v>
      </x:c>
      <x:c r="D11" s="17" t="str">
        <x:v>confirmed</x:v>
      </x:c>
      <x:c r="E11" s="18" t="str">
        <x:v>最终策划案.md:264-278；4.7</x:v>
      </x:c>
      <x:c r="F11" s="18" t="str"/>
    </x:row>
    <x:row r="12" ht="15" hidden="0" customHeight="1">
      <x:c r="A12" s="19" t="n">
        <x:v>10</x:v>
      </x:c>
      <x:c r="B12" s="17" t="str">
        <x:v>equipment_binding_scope</x:v>
      </x:c>
      <x:c r="C12" s="17" t="str">
        <x:v>"role"</x:v>
      </x:c>
      <x:c r="D12" s="17" t="str">
        <x:v>confirmed</x:v>
      </x:c>
      <x:c r="E12" s="18" t="str">
        <x:v>最终策划案.md:264-278；4.7</x:v>
      </x:c>
      <x:c r="F12" s="18" t="str"/>
    </x:row>
    <x:row r="13" ht="15" hidden="0" customHeight="1">
      <x:c r="A13" s="19" t="n">
        <x:v>11</x:v>
      </x:c>
      <x:c r="B13" s="17" t="str">
        <x:v>wing_binding</x:v>
      </x:c>
      <x:c r="C13" s="17" t="str">
        <x:v>"always_role_exclusive"</x:v>
      </x:c>
      <x:c r="D13" s="17" t="str">
        <x:v>confirmed</x:v>
      </x:c>
      <x:c r="E13" s="18" t="str">
        <x:v>最终策划案.md:264-278；4.7</x:v>
      </x:c>
      <x:c r="F13" s="18" t="str"/>
    </x:row>
    <x:row r="14" ht="15" hidden="0" customHeight="1">
      <x:c r="A14" s="19" t="n">
        <x:v>12</x:v>
      </x:c>
      <x:c r="B14" s="17" t="str">
        <x:v>failure_does_not_revert_binding</x:v>
      </x:c>
      <x:c r="C14" s="17" t="str">
        <x:v>true</x:v>
      </x:c>
      <x:c r="D14" s="17" t="str">
        <x:v>confirmed</x:v>
      </x:c>
      <x:c r="E14" s="18" t="str">
        <x:v>最终策划案.md:264-278；4.7</x:v>
      </x:c>
      <x:c r="F14" s="18" t="str"/>
    </x:row>
    <x:row r="15" ht="15" hidden="0" customHeight="1">
      <x:c r="A15" s="19" t="n">
        <x:v>13</x:v>
      </x:c>
      <x:c r="B15" s="17" t="str">
        <x:v>authorization_changes_probability</x:v>
      </x:c>
      <x:c r="C15" s="17" t="str">
        <x:v>false</x:v>
      </x:c>
      <x:c r="D15" s="17" t="str">
        <x:v>confirmed</x:v>
      </x:c>
      <x:c r="E15" s="18" t="str">
        <x:v>最终策划案.md:264-278；4.7</x:v>
      </x:c>
      <x:c r="F15" s="18" t="str"/>
    </x:row>
  </x:sheetData>
  <x:conditionalFormatting sqref="A4:A1003">
    <x:cfRule type="expression" dxfId="68" priority="1">
      <x:formula>AND($A4&lt;&gt;"",ISBLANK(A4))</x:formula>
    </x:cfRule>
  </x:conditionalFormatting>
  <x:conditionalFormatting sqref="B4:B1003">
    <x:cfRule type="expression" dxfId="69" priority="2">
      <x:formula>AND($A4&lt;&gt;"",ISBLANK(B4))</x:formula>
    </x:cfRule>
  </x:conditionalFormatting>
  <x:conditionalFormatting sqref="C4:C1003">
    <x:cfRule type="expression" dxfId="70" priority="3">
      <x:formula>AND($A4&lt;&gt;"",ISBLANK(C4))</x:formula>
    </x:cfRule>
  </x:conditionalFormatting>
  <x:conditionalFormatting sqref="D4:D1003">
    <x:cfRule type="containsText" dxfId="71" priority="4" operator="containsText" text="candidate"/>
    <x:cfRule type="containsText" dxfId="72" priority="5" operator="containsText" text="unverified"/>
    <x:cfRule type="containsText" dxfId="73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卡种</x:v>
      </x:c>
      <x:c r="C1" s="7" t="str">
        <x:v>支付渠道</x:v>
      </x:c>
      <x:c r="D1" s="7" t="str">
        <x:v>有效天数</x:v>
      </x:c>
      <x:c r="E1" s="7" t="str">
        <x:v>现金价格</x:v>
      </x:c>
      <x:c r="F1" s="7" t="str">
        <x:v>非绑定元宝价格</x:v>
      </x:c>
      <x:c r="G1" s="7" t="str">
        <x:v>角色独立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card_key</x:v>
      </x:c>
      <x:c r="C2" s="12" t="str">
        <x:v>payment_key</x:v>
      </x:c>
      <x:c r="D2" s="12" t="str">
        <x:v>duration_days</x:v>
      </x:c>
      <x:c r="E2" s="12" t="str">
        <x:v>cash_fen</x:v>
      </x:c>
      <x:c r="F2" s="12" t="str">
        <x:v>ingot_u</x:v>
      </x:c>
      <x:c r="G2" s="12" t="str">
        <x:v>role_scoped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天 / both</x:v>
      </x:c>
      <x:c r="E3" s="15" t="str">
        <x:v>int / 可空 / 分 / both</x:v>
      </x:c>
      <x:c r="F3" s="15" t="str">
        <x:v>int / 可空 / 0.1元宝 / both</x:v>
      </x:c>
      <x:c r="G3" s="15" t="str">
        <x:v>bool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 t="n">
        <x:v>1</x:v>
      </x:c>
      <x:c r="B4" s="17" t="str">
        <x:v>privilege</x:v>
      </x:c>
      <x:c r="C4" s="17" t="str">
        <x:v>cash</x:v>
      </x:c>
      <x:c r="D4" s="16" t="n">
        <x:v>30</x:v>
      </x:c>
      <x:c r="E4" s="16" t="n">
        <x:v>3000</x:v>
      </x:c>
      <x:c r="F4" s="16"/>
      <x:c r="G4" s="9" t="b">
        <x:v>1</x:v>
      </x:c>
      <x:c r="H4" s="17" t="str">
        <x:v>confirmed</x:v>
      </x:c>
      <x:c r="I4" s="18" t="str">
        <x:v>最终策划案.md:346-361；4.12、5.5</x:v>
      </x:c>
      <x:c r="J4" s="18" t="str"/>
    </x:row>
    <x:row r="5" ht="15" hidden="0" customHeight="1">
      <x:c r="A5" s="19" t="n">
        <x:v>2</x:v>
      </x:c>
      <x:c r="B5" s="17" t="str">
        <x:v>privilege</x:v>
      </x:c>
      <x:c r="C5" s="17" t="str">
        <x:v>cash</x:v>
      </x:c>
      <x:c r="D5" s="16" t="n">
        <x:v>90</x:v>
      </x:c>
      <x:c r="E5" s="16" t="n">
        <x:v>7800</x:v>
      </x:c>
      <x:c r="F5" s="16"/>
      <x:c r="G5" s="9" t="b">
        <x:v>1</x:v>
      </x:c>
      <x:c r="H5" s="17" t="str">
        <x:v>confirmed</x:v>
      </x:c>
      <x:c r="I5" s="18" t="str">
        <x:v>最终策划案.md:346-361；4.12、5.5</x:v>
      </x:c>
      <x:c r="J5" s="18" t="str"/>
    </x:row>
    <x:row r="6" ht="15" hidden="0" customHeight="1">
      <x:c r="A6" s="19" t="n">
        <x:v>3</x:v>
      </x:c>
      <x:c r="B6" s="17" t="str">
        <x:v>privilege</x:v>
      </x:c>
      <x:c r="C6" s="17" t="str">
        <x:v>cash</x:v>
      </x:c>
      <x:c r="D6" s="16" t="n">
        <x:v>365</x:v>
      </x:c>
      <x:c r="E6" s="16" t="n">
        <x:v>29800</x:v>
      </x:c>
      <x:c r="F6" s="16"/>
      <x:c r="G6" s="9" t="b">
        <x:v>1</x:v>
      </x:c>
      <x:c r="H6" s="17" t="str">
        <x:v>confirmed</x:v>
      </x:c>
      <x:c r="I6" s="18" t="str">
        <x:v>最终策划案.md:346-361；4.12、5.5</x:v>
      </x:c>
      <x:c r="J6" s="18" t="str"/>
    </x:row>
    <x:row r="7" ht="15" hidden="0" customHeight="1">
      <x:c r="A7" s="19" t="n">
        <x:v>4</x:v>
      </x:c>
      <x:c r="B7" s="17" t="str">
        <x:v>hosting</x:v>
      </x:c>
      <x:c r="C7" s="17" t="str">
        <x:v>cash</x:v>
      </x:c>
      <x:c r="D7" s="16" t="n">
        <x:v>30</x:v>
      </x:c>
      <x:c r="E7" s="16" t="n">
        <x:v>4500</x:v>
      </x:c>
      <x:c r="F7" s="16"/>
      <x:c r="G7" s="9" t="b">
        <x:v>1</x:v>
      </x:c>
      <x:c r="H7" s="17" t="str">
        <x:v>confirmed</x:v>
      </x:c>
      <x:c r="I7" s="18" t="str">
        <x:v>最终策划案.md:346-361；4.12、5.5</x:v>
      </x:c>
      <x:c r="J7" s="18" t="str"/>
    </x:row>
    <x:row r="8" ht="15" hidden="0" customHeight="1">
      <x:c r="A8" s="19" t="n">
        <x:v>5</x:v>
      </x:c>
      <x:c r="B8" s="17" t="str">
        <x:v>hosting</x:v>
      </x:c>
      <x:c r="C8" s="17" t="str">
        <x:v>cash</x:v>
      </x:c>
      <x:c r="D8" s="16" t="n">
        <x:v>90</x:v>
      </x:c>
      <x:c r="E8" s="16" t="n">
        <x:v>11800</x:v>
      </x:c>
      <x:c r="F8" s="16"/>
      <x:c r="G8" s="9" t="b">
        <x:v>1</x:v>
      </x:c>
      <x:c r="H8" s="17" t="str">
        <x:v>confirmed</x:v>
      </x:c>
      <x:c r="I8" s="18" t="str">
        <x:v>最终策划案.md:346-361；4.12、5.5</x:v>
      </x:c>
      <x:c r="J8" s="18" t="str"/>
    </x:row>
    <x:row r="9" ht="15" hidden="0" customHeight="1">
      <x:c r="A9" s="19" t="n">
        <x:v>6</x:v>
      </x:c>
      <x:c r="B9" s="17" t="str">
        <x:v>hosting</x:v>
      </x:c>
      <x:c r="C9" s="17" t="str">
        <x:v>cash</x:v>
      </x:c>
      <x:c r="D9" s="16" t="n">
        <x:v>365</x:v>
      </x:c>
      <x:c r="E9" s="16" t="n">
        <x:v>46800</x:v>
      </x:c>
      <x:c r="F9" s="16"/>
      <x:c r="G9" s="9" t="b">
        <x:v>1</x:v>
      </x:c>
      <x:c r="H9" s="17" t="str">
        <x:v>confirmed</x:v>
      </x:c>
      <x:c r="I9" s="18" t="str">
        <x:v>最终策划案.md:346-361；4.12、5.5</x:v>
      </x:c>
      <x:c r="J9" s="18" t="str"/>
    </x:row>
    <x:row r="10" ht="15" hidden="0" customHeight="1">
      <x:c r="A10" s="19" t="n">
        <x:v>7</x:v>
      </x:c>
      <x:c r="B10" s="17" t="str">
        <x:v>privilege</x:v>
      </x:c>
      <x:c r="C10" s="17" t="str">
        <x:v>ingot</x:v>
      </x:c>
      <x:c r="D10" s="16" t="n">
        <x:v>30</x:v>
      </x:c>
      <x:c r="E10" s="16"/>
      <x:c r="F10" s="16" t="n">
        <x:v>30000</x:v>
      </x:c>
      <x:c r="G10" s="9" t="b">
        <x:v>1</x:v>
      </x:c>
      <x:c r="H10" s="17" t="str">
        <x:v>confirmed</x:v>
      </x:c>
      <x:c r="I10" s="18" t="str">
        <x:v>最终策划案.md:346-361；4.12、5.5</x:v>
      </x:c>
      <x:c r="J10" s="18" t="str"/>
    </x:row>
    <x:row r="11" ht="15" hidden="0" customHeight="1">
      <x:c r="A11" s="19" t="n">
        <x:v>8</x:v>
      </x:c>
      <x:c r="B11" s="17" t="str">
        <x:v>hosting</x:v>
      </x:c>
      <x:c r="C11" s="17" t="str">
        <x:v>ingot</x:v>
      </x:c>
      <x:c r="D11" s="16" t="n">
        <x:v>30</x:v>
      </x:c>
      <x:c r="E11" s="16"/>
      <x:c r="F11" s="16" t="n">
        <x:v>45000</x:v>
      </x:c>
      <x:c r="G11" s="9" t="b">
        <x:v>1</x:v>
      </x:c>
      <x:c r="H11" s="17" t="str">
        <x:v>confirmed</x:v>
      </x:c>
      <x:c r="I11" s="18" t="str">
        <x:v>最终策划案.md:346-361；4.12、5.5</x:v>
      </x:c>
      <x:c r="J11" s="18" t="str"/>
    </x:row>
  </x:sheetData>
  <x:conditionalFormatting sqref="A4:A1003">
    <x:cfRule type="expression" dxfId="74" priority="1">
      <x:formula>AND($A4&lt;&gt;"",ISBLANK(A4))</x:formula>
    </x:cfRule>
  </x:conditionalFormatting>
  <x:conditionalFormatting sqref="B4:B1003">
    <x:cfRule type="expression" dxfId="75" priority="2">
      <x:formula>AND($A4&lt;&gt;"",ISBLANK(B4))</x:formula>
    </x:cfRule>
  </x:conditionalFormatting>
  <x:conditionalFormatting sqref="C4:C1003">
    <x:cfRule type="expression" dxfId="76" priority="3">
      <x:formula>AND($A4&lt;&gt;"",ISBLANK(C4))</x:formula>
    </x:cfRule>
  </x:conditionalFormatting>
  <x:conditionalFormatting sqref="D4:D1003">
    <x:cfRule type="expression" dxfId="77" priority="4">
      <x:formula>AND($A4&lt;&gt;"",ISBLANK(D4))</x:formula>
    </x:cfRule>
  </x:conditionalFormatting>
  <x:conditionalFormatting sqref="G4:G1003">
    <x:cfRule type="expression" dxfId="78" priority="5">
      <x:formula>AND($A4&lt;&gt;"",ISBLANK(G4))</x:formula>
    </x:cfRule>
  </x:conditionalFormatting>
  <x:conditionalFormatting sqref="H4:H1003">
    <x:cfRule type="containsText" dxfId="79" priority="6" operator="containsText" text="candidate"/>
    <x:cfRule type="containsText" dxfId="80" priority="7" operator="containsText" text="unverified"/>
    <x:cfRule type="containsText" dxfId="81" priority="8" operator="containsText" text="historical"/>
  </x:conditionalFormatting>
  <x:dataValidations count="2">
    <x:dataValidation type="list" sqref="C4:C1003">
      <x:formula1>"cash,ingot"</x:formula1>
    </x:dataValidation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privilege_daily_bound_ingot_u</x:v>
      </x:c>
      <x:c r="C4" s="17" t="str">
        <x:v>2000</x:v>
      </x:c>
      <x:c r="D4" s="17" t="str">
        <x:v>confirmed</x:v>
      </x:c>
      <x:c r="E4" s="18" t="str">
        <x:v>最终策划案.md:95-105、346-376；4.1、4.12</x:v>
      </x:c>
      <x:c r="F4" s="18" t="str"/>
    </x:row>
    <x:row r="5" ht="15" hidden="0" customHeight="1">
      <x:c r="A5" s="19" t="n">
        <x:v>2</x:v>
      </x:c>
      <x:c r="B5" s="17" t="str">
        <x:v>privilege_personal_boss_success_bonus</x:v>
      </x:c>
      <x:c r="C5" s="17" t="str">
        <x:v>1</x:v>
      </x:c>
      <x:c r="D5" s="17" t="str">
        <x:v>confirmed</x:v>
      </x:c>
      <x:c r="E5" s="18" t="str">
        <x:v>最终策划案.md:95-105、346-376；4.1、4.12</x:v>
      </x:c>
      <x:c r="F5" s="18" t="str"/>
    </x:row>
    <x:row r="6" ht="15" hidden="0" customHeight="1">
      <x:c r="A6" s="19" t="n">
        <x:v>3</x:v>
      </x:c>
      <x:c r="B6" s="17" t="str">
        <x:v>privilege_market_and_shared_access</x:v>
      </x:c>
      <x:c r="C6" s="17" t="str">
        <x:v>true</x:v>
      </x:c>
      <x:c r="D6" s="17" t="str">
        <x:v>confirmed</x:v>
      </x:c>
      <x:c r="E6" s="18" t="str">
        <x:v>最终策划案.md:95-105、346-376；4.1、4.12</x:v>
      </x:c>
      <x:c r="F6" s="18" t="str"/>
    </x:row>
    <x:row r="7" ht="15" hidden="0" customHeight="1">
      <x:c r="A7" s="19" t="n">
        <x:v>4</x:v>
      </x:c>
      <x:c r="B7" s="17" t="str">
        <x:v>hosting_daily_total_seconds</x:v>
      </x:c>
      <x:c r="C7" s="17" t="str">
        <x:v>43200</x:v>
      </x:c>
      <x:c r="D7" s="17" t="str">
        <x:v>confirmed</x:v>
      </x:c>
      <x:c r="E7" s="18" t="str">
        <x:v>最终策划案.md:95-105、346-376；4.1、4.12</x:v>
      </x:c>
      <x:c r="F7" s="18" t="str"/>
    </x:row>
    <x:row r="8" ht="15" hidden="0" customHeight="1">
      <x:c r="A8" s="19" t="n">
        <x:v>5</x:v>
      </x:c>
      <x:c r="B8" s="17" t="str">
        <x:v>free_daily_total_seconds</x:v>
      </x:c>
      <x:c r="C8" s="17" t="str">
        <x:v>21600</x:v>
      </x:c>
      <x:c r="D8" s="17" t="str">
        <x:v>confirmed</x:v>
      </x:c>
      <x:c r="E8" s="18" t="str">
        <x:v>最终策划案.md:95-105、346-376；4.1、4.12</x:v>
      </x:c>
      <x:c r="F8" s="18" t="str"/>
    </x:row>
    <x:row r="9" ht="15" hidden="0" customHeight="1">
      <x:c r="A9" s="19" t="n">
        <x:v>6</x:v>
      </x:c>
      <x:c r="B9" s="17" t="str">
        <x:v>daily_claim_manual</x:v>
      </x:c>
      <x:c r="C9" s="17" t="str">
        <x:v>true</x:v>
      </x:c>
      <x:c r="D9" s="17" t="str">
        <x:v>confirmed</x:v>
      </x:c>
      <x:c r="E9" s="18" t="str">
        <x:v>最终策划案.md:95-105、346-376；4.1、4.12</x:v>
      </x:c>
      <x:c r="F9" s="18" t="str"/>
    </x:row>
    <x:row r="10" ht="15" hidden="0" customHeight="1">
      <x:c r="A10" s="19" t="n">
        <x:v>7</x:v>
      </x:c>
      <x:c r="B10" s="17" t="str">
        <x:v>daily_claim_accumulates</x:v>
      </x:c>
      <x:c r="C10" s="17" t="str">
        <x:v>true</x:v>
      </x:c>
      <x:c r="D10" s="17" t="str">
        <x:v>confirmed</x:v>
      </x:c>
      <x:c r="E10" s="18" t="str">
        <x:v>最终策划案.md:95-105、346-376；4.1、4.12</x:v>
      </x:c>
      <x:c r="F10" s="18" t="str"/>
    </x:row>
    <x:row r="11" ht="15" hidden="0" customHeight="1">
      <x:c r="A11" s="19" t="n">
        <x:v>8</x:v>
      </x:c>
      <x:c r="B11" s="17" t="str">
        <x:v>daily_unclaimed_carryover</x:v>
      </x:c>
      <x:c r="C11" s="17" t="str">
        <x:v>false</x:v>
      </x:c>
      <x:c r="D11" s="17" t="str">
        <x:v>confirmed</x:v>
      </x:c>
      <x:c r="E11" s="18" t="str">
        <x:v>最终策划案.md:95-105、346-376；4.1、4.12</x:v>
      </x:c>
      <x:c r="F11" s="18" t="str"/>
    </x:row>
    <x:row r="12" ht="15" hidden="0" customHeight="1">
      <x:c r="A12" s="19" t="n">
        <x:v>9</x:v>
      </x:c>
      <x:c r="B12" s="17" t="str">
        <x:v>upgrade_claim_only_difference</x:v>
      </x:c>
      <x:c r="C12" s="17" t="str">
        <x:v>true</x:v>
      </x:c>
      <x:c r="D12" s="17" t="str">
        <x:v>confirmed</x:v>
      </x:c>
      <x:c r="E12" s="18" t="str">
        <x:v>最终策划案.md:95-105、346-376；4.1、4.12</x:v>
      </x:c>
      <x:c r="F12" s="18" t="str"/>
    </x:row>
    <x:row r="13" ht="15" hidden="0" customHeight="1">
      <x:c r="A13" s="19" t="n">
        <x:v>10</x:v>
      </x:c>
      <x:c r="B13" s="17" t="str">
        <x:v>renewal_extends_duration_only</x:v>
      </x:c>
      <x:c r="C13" s="17" t="str">
        <x:v>true</x:v>
      </x:c>
      <x:c r="D13" s="17" t="str">
        <x:v>confirmed</x:v>
      </x:c>
      <x:c r="E13" s="18" t="str">
        <x:v>最终策划案.md:95-105、346-376；4.1、4.12</x:v>
      </x:c>
      <x:c r="F13" s="18" t="str"/>
    </x:row>
    <x:row r="14" ht="15" hidden="0" customHeight="1">
      <x:c r="A14" s="19" t="n">
        <x:v>11</x:v>
      </x:c>
      <x:c r="B14" s="17" t="str">
        <x:v>hosting_dungeon_entry_bonus</x:v>
      </x:c>
      <x:c r="C14" s="17" t="str">
        <x:v>1</x:v>
      </x:c>
      <x:c r="D14" s="17" t="str">
        <x:v>confirmed</x:v>
      </x:c>
      <x:c r="E14" s="18" t="str">
        <x:v>最终策划案.md:95-105、346-376；4.1、4.12</x:v>
      </x:c>
      <x:c r="F14" s="18" t="str"/>
    </x:row>
    <x:row r="15" ht="15" hidden="0" customHeight="1">
      <x:c r="A15" s="19" t="n">
        <x:v>12</x:v>
      </x:c>
      <x:c r="B15" s="17" t="str">
        <x:v>hosting_auto_personal_boss</x:v>
      </x:c>
      <x:c r="C15" s="17" t="str">
        <x:v>true</x:v>
      </x:c>
      <x:c r="D15" s="17" t="str">
        <x:v>confirmed</x:v>
      </x:c>
      <x:c r="E15" s="18" t="str">
        <x:v>最终策划案.md:95-105、346-376；4.1、4.12</x:v>
      </x:c>
      <x:c r="F15" s="18" t="str"/>
    </x:row>
    <x:row r="16" ht="15" hidden="0" customHeight="1">
      <x:c r="A16" s="19" t="n">
        <x:v>13</x:v>
      </x:c>
      <x:c r="B16" s="17" t="str">
        <x:v>hosting_kill_exp_bonus_bp</x:v>
      </x:c>
      <x:c r="C16" s="17" t="str">
        <x:v>2000</x:v>
      </x:c>
      <x:c r="D16" s="17" t="str">
        <x:v>confirmed</x:v>
      </x:c>
      <x:c r="E16" s="18" t="str">
        <x:v>最终策划案.md:95-105、346-376；4.1、4.12</x:v>
      </x:c>
      <x:c r="F16" s="18" t="str"/>
    </x:row>
    <x:row r="17" ht="15" hidden="0" customHeight="1">
      <x:c r="A17" s="19" t="n">
        <x:v>14</x:v>
      </x:c>
      <x:c r="B17" s="17" t="str">
        <x:v>hosting_direct_kill_gold_bonus_bp</x:v>
      </x:c>
      <x:c r="C17" s="17" t="str">
        <x:v>2000</x:v>
      </x:c>
      <x:c r="D17" s="17" t="str">
        <x:v>confirmed</x:v>
      </x:c>
      <x:c r="E17" s="18" t="str">
        <x:v>最终策划案.md:95-105、346-376；4.1、4.12</x:v>
      </x:c>
      <x:c r="F17" s="18" t="str"/>
    </x:row>
    <x:row r="18" ht="15" hidden="0" customHeight="1">
      <x:c r="A18" s="19" t="n">
        <x:v>15</x:v>
      </x:c>
      <x:c r="B18" s="17" t="str">
        <x:v>hosting_bonus_excludes</x:v>
      </x:c>
      <x:c r="C18" s="17" t="str">
        <x:v>["recycle","mining_recycle","task","market"]</x:v>
      </x:c>
      <x:c r="D18" s="17" t="str">
        <x:v>confirmed</x:v>
      </x:c>
      <x:c r="E18" s="18" t="str">
        <x:v>最终策划案.md:95-105、346-376；4.1、4.12</x:v>
      </x:c>
      <x:c r="F18" s="18" t="str"/>
    </x:row>
    <x:row r="19" ht="15" hidden="0" customHeight="1">
      <x:c r="A19" s="19" t="n">
        <x:v>16</x:v>
      </x:c>
      <x:c r="B19" s="17" t="str">
        <x:v>hosting_bonus_stacking</x:v>
      </x:c>
      <x:c r="C19" s="17" t="str">
        <x:v>"additive_same_group"</x:v>
      </x:c>
      <x:c r="D19" s="17" t="str">
        <x:v>confirmed</x:v>
      </x:c>
      <x:c r="E19" s="18" t="str">
        <x:v>最终策划案.md:95-105、346-376；4.1、4.12</x:v>
      </x:c>
      <x:c r="F19" s="18" t="str"/>
    </x:row>
    <x:row r="20" ht="15" hidden="0" customHeight="1">
      <x:c r="A20" s="19" t="n">
        <x:v>17</x:v>
      </x:c>
      <x:c r="B20" s="17" t="str">
        <x:v>gold_buy_before_balance_max_exclusive_sec</x:v>
      </x:c>
      <x:c r="C20" s="17" t="str">
        <x:v>86400</x:v>
      </x:c>
      <x:c r="D20" s="17" t="str">
        <x:v>confirmed</x:v>
      </x:c>
      <x:c r="E20" s="18" t="str">
        <x:v>最终策划案.md:95-105、346-376；4.1、4.12</x:v>
      </x:c>
      <x:c r="F20" s="18" t="str"/>
    </x:row>
    <x:row r="21" ht="15" hidden="0" customHeight="1">
      <x:c r="A21" s="19" t="n">
        <x:v>18</x:v>
      </x:c>
      <x:c r="B21" s="17" t="str">
        <x:v>gold_buy_quantity_max_sec</x:v>
      </x:c>
      <x:c r="C21" s="17" t="str">
        <x:v>86400</x:v>
      </x:c>
      <x:c r="D21" s="17" t="str">
        <x:v>confirmed</x:v>
      </x:c>
      <x:c r="E21" s="18" t="str">
        <x:v>最终策划案.md:95-105、346-376；4.1、4.12</x:v>
      </x:c>
      <x:c r="F21" s="18" t="str"/>
    </x:row>
    <x:row r="22" ht="15" hidden="0" customHeight="1">
      <x:c r="A22" s="19" t="n">
        <x:v>19</x:v>
      </x:c>
      <x:c r="B22" s="17" t="str">
        <x:v>gold_buy_quantity_min_exclusive_sec</x:v>
      </x:c>
      <x:c r="C22" s="17" t="str">
        <x:v>0</x:v>
      </x:c>
      <x:c r="D22" s="17" t="str">
        <x:v>confirmed</x:v>
      </x:c>
      <x:c r="E22" s="18" t="str">
        <x:v>最终策划案.md:95-105、346-376；4.1、4.12</x:v>
      </x:c>
      <x:c r="F22" s="18" t="str"/>
    </x:row>
    <x:row r="23" ht="15" hidden="0" customHeight="1">
      <x:c r="A23" s="19" t="n">
        <x:v>20</x:v>
      </x:c>
      <x:c r="B23" s="17" t="str">
        <x:v>gold_buy_post_balance_cap</x:v>
      </x:c>
      <x:c r="C23" s="17" t="str">
        <x:v>{"enabled":false}</x:v>
      </x:c>
      <x:c r="D23" s="17" t="str">
        <x:v>confirmed</x:v>
      </x:c>
      <x:c r="E23" s="18" t="str">
        <x:v>最终策划案.md:95-105、346-376；4.1、4.12</x:v>
      </x:c>
      <x:c r="F23" s="18" t="str">
        <x:v>无购买后24h总上限。</x:v>
      </x:c>
    </x:row>
    <x:row r="24" ht="15" hidden="0" customHeight="1">
      <x:c r="A24" s="19" t="n">
        <x:v>21</x:v>
      </x:c>
      <x:c r="B24" s="17" t="str">
        <x:v>gold_buy_debit_priority</x:v>
      </x:c>
      <x:c r="C24" s="17" t="str">
        <x:v>["bound_gold","gold"]</x:v>
      </x:c>
      <x:c r="D24" s="17" t="str">
        <x:v>confirmed</x:v>
      </x:c>
      <x:c r="E24" s="18" t="str">
        <x:v>最终策划案.md:95-105、346-376；4.1、4.12</x:v>
      </x:c>
      <x:c r="F24" s="18" t="str"/>
    </x:row>
    <x:row r="25" ht="15" hidden="0" customHeight="1">
      <x:c r="A25" s="19" t="n">
        <x:v>22</x:v>
      </x:c>
      <x:c r="B25" s="17" t="str">
        <x:v>hosting_price_multiplier</x:v>
      </x:c>
      <x:c r="C25" s="17" t="str">
        <x:v>2</x:v>
      </x:c>
      <x:c r="D25" s="17" t="str">
        <x:v>confirmed</x:v>
      </x:c>
      <x:c r="E25" s="18" t="str">
        <x:v>最终策划案.md:95-105、346-376；4.1、4.12</x:v>
      </x:c>
      <x:c r="F25" s="18" t="str"/>
    </x:row>
    <x:row r="26" ht="15" hidden="0" customHeight="1">
      <x:c r="A26" s="19" t="n">
        <x:v>23</x:v>
      </x:c>
      <x:c r="B26" s="17" t="str">
        <x:v>hosting_price_rounding</x:v>
      </x:c>
      <x:c r="C26" s="17" t="str">
        <x:v>"ceil(hour_price*hours)"</x:v>
      </x:c>
      <x:c r="D26" s="17" t="str">
        <x:v>confirmed</x:v>
      </x:c>
      <x:c r="E26" s="18" t="str">
        <x:v>最终策划案.md:95-105、346-376；4.1、4.12</x:v>
      </x:c>
      <x:c r="F26" s="18" t="str"/>
    </x:row>
    <x:row r="27" ht="15" hidden="0" customHeight="1">
      <x:c r="A27" s="19" t="n">
        <x:v>24</x:v>
      </x:c>
      <x:c r="B27" s="17" t="str">
        <x:v>hosting_balance_unit</x:v>
      </x:c>
      <x:c r="C27" s="17" t="str">
        <x:v>"integer_seconds"</x:v>
      </x:c>
      <x:c r="D27" s="17" t="str">
        <x:v>confirmed</x:v>
      </x:c>
      <x:c r="E27" s="18" t="str">
        <x:v>最终策划案.md:95-105、346-376；4.1、4.12</x:v>
      </x:c>
      <x:c r="F27" s="18" t="str"/>
    </x:row>
    <x:row r="28" ht="15" hidden="0" customHeight="1">
      <x:c r="A28" s="19" t="n">
        <x:v>25</x:v>
      </x:c>
      <x:c r="B28" s="17" t="str">
        <x:v>hosting_purchase_granularity_sec</x:v>
      </x:c>
      <x:c r="C28" s="17"/>
      <x:c r="D28" s="17" t="str">
        <x:v>unverified</x:v>
      </x:c>
      <x:c r="E28" s="18" t="str">
        <x:v>最终策划案.md:95-105、346-376；4.1、4.12</x:v>
      </x:c>
      <x:c r="F28" s="18" t="str">
        <x:v>须配置合法购买粒度。</x:v>
      </x:c>
    </x:row>
    <x:row r="29" ht="15" hidden="0" customHeight="1">
      <x:c r="A29" s="19" t="n">
        <x:v>26</x:v>
      </x:c>
      <x:c r="B29" s="17" t="str">
        <x:v>video_reward_seconds</x:v>
      </x:c>
      <x:c r="C29" s="17" t="str">
        <x:v>3600</x:v>
      </x:c>
      <x:c r="D29" s="17" t="str">
        <x:v>candidate</x:v>
      </x:c>
      <x:c r="E29" s="18" t="str">
        <x:v>最终策划案.md:95-105、346-376；4.1、4.12</x:v>
      </x:c>
      <x:c r="F29" s="18" t="str">
        <x:v>激励视频首测候选，回调核验及账号/IP/设备限额待配置。</x:v>
      </x:c>
    </x:row>
    <x:row r="30" ht="15" hidden="0" customHeight="1">
      <x:c r="A30" s="19" t="n">
        <x:v>27</x:v>
      </x:c>
      <x:c r="B30" s="17" t="str">
        <x:v>video_daily_account_limit</x:v>
      </x:c>
      <x:c r="C30" s="17"/>
      <x:c r="D30" s="17" t="str">
        <x:v>unverified</x:v>
      </x:c>
      <x:c r="E30" s="18" t="str">
        <x:v>最终策划案.md:95-105、346-376；4.1、4.12</x:v>
      </x:c>
      <x:c r="F30" s="18" t="str">
        <x:v>策划要求联合限额但未给数量。</x:v>
      </x:c>
    </x:row>
  </x:sheetData>
  <x:conditionalFormatting sqref="A4:A1003">
    <x:cfRule type="expression" dxfId="82" priority="1">
      <x:formula>AND($A4&lt;&gt;"",ISBLANK(A4))</x:formula>
    </x:cfRule>
  </x:conditionalFormatting>
  <x:conditionalFormatting sqref="B4:B1003">
    <x:cfRule type="expression" dxfId="83" priority="2">
      <x:formula>AND($A4&lt;&gt;"",ISBLANK(B4))</x:formula>
    </x:cfRule>
  </x:conditionalFormatting>
  <x:conditionalFormatting sqref="C4:C1003">
    <x:cfRule type="expression" dxfId="84" priority="3">
      <x:formula>AND($A4&lt;&gt;"",ISBLANK(C4))</x:formula>
    </x:cfRule>
  </x:conditionalFormatting>
  <x:conditionalFormatting sqref="D4:D1003">
    <x:cfRule type="containsText" dxfId="85" priority="4" operator="containsText" text="candidate"/>
    <x:cfRule type="containsText" dxfId="86" priority="5" operator="containsText" text="unverified"/>
    <x:cfRule type="containsText" dxfId="87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max_listings_per_account_run</x:v>
      </x:c>
      <x:c r="C4" s="17" t="str">
        <x:v>5</x:v>
      </x:c>
      <x:c r="D4" s="17" t="str">
        <x:v>confirmed</x:v>
      </x:c>
      <x:c r="E4" s="18" t="str">
        <x:v>最终策划案.md:155-165、193-195；4.3、4.4</x:v>
      </x:c>
      <x:c r="F4" s="18" t="str"/>
    </x:row>
    <x:row r="5" ht="15" hidden="0" customHeight="1">
      <x:c r="A5" s="19" t="n">
        <x:v>2</x:v>
      </x:c>
      <x:c r="B5" s="17" t="str">
        <x:v>listing_fee_ingot_u</x:v>
      </x:c>
      <x:c r="C5" s="17" t="str">
        <x:v>0</x:v>
      </x:c>
      <x:c r="D5" s="17" t="str">
        <x:v>confirmed</x:v>
      </x:c>
      <x:c r="E5" s="18" t="str">
        <x:v>最终策划案.md:155-165、193-195；4.3、4.4</x:v>
      </x:c>
      <x:c r="F5" s="18" t="str"/>
    </x:row>
    <x:row r="6" ht="15" hidden="0" customHeight="1">
      <x:c r="A6" s="19" t="n">
        <x:v>3</x:v>
      </x:c>
      <x:c r="B6" s="17" t="str">
        <x:v>auction_seconds</x:v>
      </x:c>
      <x:c r="C6" s="17" t="str">
        <x:v>7200</x:v>
      </x:c>
      <x:c r="D6" s="17" t="str">
        <x:v>confirmed</x:v>
      </x:c>
      <x:c r="E6" s="18" t="str">
        <x:v>最终策划案.md:155-165、193-195；4.3、4.4</x:v>
      </x:c>
      <x:c r="F6" s="18" t="str"/>
    </x:row>
    <x:row r="7" ht="15" hidden="0" customHeight="1">
      <x:c r="A7" s="19" t="n">
        <x:v>4</x:v>
      </x:c>
      <x:c r="B7" s="17" t="str">
        <x:v>buyout_seconds</x:v>
      </x:c>
      <x:c r="C7" s="17" t="str">
        <x:v>86400</x:v>
      </x:c>
      <x:c r="D7" s="17" t="str">
        <x:v>confirmed</x:v>
      </x:c>
      <x:c r="E7" s="18" t="str">
        <x:v>最终策划案.md:155-165、193-195；4.3、4.4</x:v>
      </x:c>
      <x:c r="F7" s="18" t="str"/>
    </x:row>
    <x:row r="8" ht="15" hidden="0" customHeight="1">
      <x:c r="A8" s="19" t="n">
        <x:v>5</x:v>
      </x:c>
      <x:c r="B8" s="17" t="str">
        <x:v>bid_raise_bp</x:v>
      </x:c>
      <x:c r="C8" s="17" t="str">
        <x:v>1000</x:v>
      </x:c>
      <x:c r="D8" s="17" t="str">
        <x:v>confirmed</x:v>
      </x:c>
      <x:c r="E8" s="18" t="str">
        <x:v>最终策划案.md:155-165、193-195；4.3、4.4</x:v>
      </x:c>
      <x:c r="F8" s="18" t="str"/>
    </x:row>
    <x:row r="9" ht="15" hidden="0" customHeight="1">
      <x:c r="A9" s="19" t="n">
        <x:v>6</x:v>
      </x:c>
      <x:c r="B9" s="17" t="str">
        <x:v>price_step_ingot_u</x:v>
      </x:c>
      <x:c r="C9" s="17" t="str">
        <x:v>1</x:v>
      </x:c>
      <x:c r="D9" s="17" t="str">
        <x:v>confirmed</x:v>
      </x:c>
      <x:c r="E9" s="18" t="str">
        <x:v>最终策划案.md:155-165、193-195；4.3、4.4</x:v>
      </x:c>
      <x:c r="F9" s="18" t="str"/>
    </x:row>
    <x:row r="10" ht="15" hidden="0" customHeight="1">
      <x:c r="A10" s="19" t="n">
        <x:v>7</x:v>
      </x:c>
      <x:c r="B10" s="17" t="str">
        <x:v>minimum_raise_ingot_u</x:v>
      </x:c>
      <x:c r="C10" s="17" t="str">
        <x:v>1</x:v>
      </x:c>
      <x:c r="D10" s="17" t="str">
        <x:v>confirmed</x:v>
      </x:c>
      <x:c r="E10" s="18" t="str">
        <x:v>最终策划案.md:155-165、193-195；4.3、4.4</x:v>
      </x:c>
      <x:c r="F10" s="18" t="str"/>
    </x:row>
    <x:row r="11" ht="15" hidden="0" customHeight="1">
      <x:c r="A11" s="19" t="n">
        <x:v>8</x:v>
      </x:c>
      <x:c r="B11" s="17" t="str">
        <x:v>extend_when_remaining_below_sec</x:v>
      </x:c>
      <x:c r="C11" s="17" t="str">
        <x:v>1200</x:v>
      </x:c>
      <x:c r="D11" s="17" t="str">
        <x:v>confirmed</x:v>
      </x:c>
      <x:c r="E11" s="18" t="str">
        <x:v>最终策划案.md:155-165、193-195；4.3、4.4</x:v>
      </x:c>
      <x:c r="F11" s="18" t="str"/>
    </x:row>
    <x:row r="12" ht="15" hidden="0" customHeight="1">
      <x:c r="A12" s="19" t="n">
        <x:v>9</x:v>
      </x:c>
      <x:c r="B12" s="17" t="str">
        <x:v>extend_to_remaining_sec</x:v>
      </x:c>
      <x:c r="C12" s="17" t="str">
        <x:v>1200</x:v>
      </x:c>
      <x:c r="D12" s="17" t="str">
        <x:v>confirmed</x:v>
      </x:c>
      <x:c r="E12" s="18" t="str">
        <x:v>最终策划案.md:155-165、193-195；4.3、4.4</x:v>
      </x:c>
      <x:c r="F12" s="18" t="str"/>
    </x:row>
    <x:row r="13" ht="15" hidden="0" customHeight="1">
      <x:c r="A13" s="19" t="n">
        <x:v>10</x:v>
      </x:c>
      <x:c r="B13" s="17" t="str">
        <x:v>seller_commission_bp</x:v>
      </x:c>
      <x:c r="C13" s="17" t="str">
        <x:v>1000</x:v>
      </x:c>
      <x:c r="D13" s="17" t="str">
        <x:v>confirmed</x:v>
      </x:c>
      <x:c r="E13" s="18" t="str">
        <x:v>最终策划案.md:155-165、193-195；4.3、4.4</x:v>
      </x:c>
      <x:c r="F13" s="18" t="str"/>
    </x:row>
    <x:row r="14" ht="15" hidden="0" customHeight="1">
      <x:c r="A14" s="19" t="n">
        <x:v>11</x:v>
      </x:c>
      <x:c r="B14" s="17" t="str">
        <x:v>cancel_with_active_bidder</x:v>
      </x:c>
      <x:c r="C14" s="17" t="str">
        <x:v>false</x:v>
      </x:c>
      <x:c r="D14" s="17" t="str">
        <x:v>confirmed</x:v>
      </x:c>
      <x:c r="E14" s="18" t="str">
        <x:v>最终策划案.md:155-165、193-195；4.3、4.4</x:v>
      </x:c>
      <x:c r="F14" s="18" t="str"/>
    </x:row>
    <x:row r="15" ht="15" hidden="0" customHeight="1">
      <x:c r="A15" s="19" t="n">
        <x:v>12</x:v>
      </x:c>
      <x:c r="B15" s="17" t="str">
        <x:v>cancellation_fee_ingot_u</x:v>
      </x:c>
      <x:c r="C15" s="17" t="str">
        <x:v>0</x:v>
      </x:c>
      <x:c r="D15" s="17" t="str">
        <x:v>confirmed</x:v>
      </x:c>
      <x:c r="E15" s="18" t="str">
        <x:v>最终策划案.md:155-165、193-195；4.3、4.4</x:v>
      </x:c>
      <x:c r="F15" s="18" t="str"/>
    </x:row>
    <x:row r="16" ht="15" hidden="0" customHeight="1">
      <x:c r="A16" s="19" t="n">
        <x:v>13</x:v>
      </x:c>
      <x:c r="B16" s="17" t="str">
        <x:v>allow_negative_balance</x:v>
      </x:c>
      <x:c r="C16" s="17" t="str">
        <x:v>false</x:v>
      </x:c>
      <x:c r="D16" s="17" t="str">
        <x:v>confirmed</x:v>
      </x:c>
      <x:c r="E16" s="18" t="str">
        <x:v>最终策划案.md:155-165、193-195；4.3、4.4</x:v>
      </x:c>
      <x:c r="F16" s="18" t="str"/>
    </x:row>
    <x:row r="17" ht="15" hidden="0" customHeight="1">
      <x:c r="A17" s="19" t="n">
        <x:v>14</x:v>
      </x:c>
      <x:c r="B17" s="17" t="str">
        <x:v>settlement</x:v>
      </x:c>
      <x:c r="C17" s="17" t="str">
        <x:v>"random_valid_buyer_whole_remaining_lot"</x:v>
      </x:c>
      <x:c r="D17" s="17" t="str">
        <x:v>confirmed</x:v>
      </x:c>
      <x:c r="E17" s="18" t="str">
        <x:v>最终策划案.md:155-165、193-195；4.3、4.4</x:v>
      </x:c>
      <x:c r="F17" s="18" t="str"/>
    </x:row>
    <x:row r="18" ht="15" hidden="0" customHeight="1">
      <x:c r="A18" s="19" t="n">
        <x:v>15</x:v>
      </x:c>
      <x:c r="B18" s="17" t="str">
        <x:v>bid_reservation</x:v>
      </x:c>
      <x:c r="C18" s="17" t="str">
        <x:v>"full_lot_total"</x:v>
      </x:c>
      <x:c r="D18" s="17" t="str">
        <x:v>confirmed</x:v>
      </x:c>
      <x:c r="E18" s="18" t="str">
        <x:v>最终策划案.md:155-165、193-195；4.3、4.4</x:v>
      </x:c>
      <x:c r="F18" s="18" t="str"/>
    </x:row>
    <x:row r="19" ht="15" hidden="0" customHeight="1">
      <x:c r="A19" s="19" t="n">
        <x:v>16</x:v>
      </x:c>
      <x:c r="B19" s="17" t="str">
        <x:v>raise_requires_existing_valid_bid</x:v>
      </x:c>
      <x:c r="C19" s="17" t="str">
        <x:v>true</x:v>
      </x:c>
      <x:c r="D19" s="17" t="str">
        <x:v>confirmed</x:v>
      </x:c>
      <x:c r="E19" s="18" t="str">
        <x:v>最终策划案.md:155-165、193-195；4.3、4.4</x:v>
      </x:c>
      <x:c r="F19" s="18" t="str"/>
    </x:row>
    <x:row r="20" ht="15" hidden="0" customHeight="1">
      <x:c r="A20" s="19" t="n">
        <x:v>17</x:v>
      </x:c>
      <x:c r="B20" s="17" t="str">
        <x:v>max_active_bid_per_account_listing</x:v>
      </x:c>
      <x:c r="C20" s="17" t="str">
        <x:v>1</x:v>
      </x:c>
      <x:c r="D20" s="17" t="str">
        <x:v>confirmed</x:v>
      </x:c>
      <x:c r="E20" s="18" t="str">
        <x:v>最终策划案.md:155-165、193-195；4.3、4.4</x:v>
      </x:c>
      <x:c r="F20" s="18" t="str"/>
    </x:row>
    <x:row r="21" ht="15" hidden="0" customHeight="1">
      <x:c r="A21" s="19" t="n">
        <x:v>18</x:v>
      </x:c>
      <x:c r="B21" s="17" t="str">
        <x:v>same_account_trade</x:v>
      </x:c>
      <x:c r="C21" s="17" t="str">
        <x:v>false</x:v>
      </x:c>
      <x:c r="D21" s="17" t="str">
        <x:v>confirmed</x:v>
      </x:c>
      <x:c r="E21" s="18" t="str">
        <x:v>最终策划案.md:155-165、193-195；4.3、4.4</x:v>
      </x:c>
      <x:c r="F21" s="18" t="str"/>
    </x:row>
    <x:row r="22" ht="15" hidden="0" customHeight="1">
      <x:c r="A22" s="19" t="n">
        <x:v>19</x:v>
      </x:c>
      <x:c r="B22" s="17" t="str">
        <x:v>new_actions_require_active_privilege</x:v>
      </x:c>
      <x:c r="C22" s="17" t="str">
        <x:v>true</x:v>
      </x:c>
      <x:c r="D22" s="17" t="str">
        <x:v>confirmed</x:v>
      </x:c>
      <x:c r="E22" s="18" t="str">
        <x:v>最终策划案.md:155-165、193-195；4.3、4.4</x:v>
      </x:c>
      <x:c r="F22" s="18" t="str"/>
    </x:row>
    <x:row r="23" ht="15" hidden="0" customHeight="1">
      <x:c r="A23" s="19" t="n">
        <x:v>20</x:v>
      </x:c>
      <x:c r="B23" s="17" t="str">
        <x:v>expired_privilege_preserves_existing_settlement</x:v>
      </x:c>
      <x:c r="C23" s="17" t="str">
        <x:v>true</x:v>
      </x:c>
      <x:c r="D23" s="17" t="str">
        <x:v>confirmed</x:v>
      </x:c>
      <x:c r="E23" s="18" t="str">
        <x:v>最终策划案.md:155-165、193-195；4.3、4.4</x:v>
      </x:c>
      <x:c r="F23" s="18" t="str"/>
    </x:row>
    <x:row r="24" ht="15" hidden="0" customHeight="1">
      <x:c r="A24" s="19" t="n">
        <x:v>21</x:v>
      </x:c>
      <x:c r="B24" s="17" t="str">
        <x:v>normal_and_fine_equipment_listable</x:v>
      </x:c>
      <x:c r="C24" s="17" t="str">
        <x:v>false</x:v>
      </x:c>
      <x:c r="D24" s="17" t="str">
        <x:v>confirmed</x:v>
      </x:c>
      <x:c r="E24" s="18" t="str">
        <x:v>最终策划案.md:155-165、193-195；4.3、4.4</x:v>
      </x:c>
      <x:c r="F24" s="18" t="str"/>
    </x:row>
    <x:row r="25" ht="15" hidden="0" customHeight="1">
      <x:c r="A25" s="19" t="n">
        <x:v>22</x:v>
      </x:c>
      <x:c r="B25" s="17" t="str">
        <x:v>list_currency</x:v>
      </x:c>
      <x:c r="C25" s="17" t="str">
        <x:v>"unbound_ingot_only"</x:v>
      </x:c>
      <x:c r="D25" s="17" t="str">
        <x:v>confirmed</x:v>
      </x:c>
      <x:c r="E25" s="18" t="str">
        <x:v>最终策划案.md:155-165、193-195；4.3、4.4</x:v>
      </x:c>
      <x:c r="F25" s="18" t="str"/>
    </x:row>
  </x:sheetData>
  <x:conditionalFormatting sqref="A4:A1003">
    <x:cfRule type="expression" dxfId="88" priority="1">
      <x:formula>AND($A4&lt;&gt;"",ISBLANK(A4))</x:formula>
    </x:cfRule>
  </x:conditionalFormatting>
  <x:conditionalFormatting sqref="B4:B1003">
    <x:cfRule type="expression" dxfId="89" priority="2">
      <x:formula>AND($A4&lt;&gt;"",ISBLANK(B4))</x:formula>
    </x:cfRule>
  </x:conditionalFormatting>
  <x:conditionalFormatting sqref="C4:C1003">
    <x:cfRule type="expression" dxfId="90" priority="3">
      <x:formula>AND($A4&lt;&gt;"",ISBLANK(C4))</x:formula>
    </x:cfRule>
  </x:conditionalFormatting>
  <x:conditionalFormatting sqref="D4:D1003">
    <x:cfRule type="containsText" dxfId="91" priority="4" operator="containsText" text="candidate"/>
    <x:cfRule type="containsText" dxfId="92" priority="5" operator="containsText" text="unverified"/>
    <x:cfRule type="containsText" dxfId="93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gold_per_lot</x:v>
      </x:c>
      <x:c r="C4" s="17" t="str">
        <x:v>10000</x:v>
      </x:c>
      <x:c r="D4" s="17" t="str">
        <x:v>confirmed</x:v>
      </x:c>
      <x:c r="E4" s="18" t="str">
        <x:v>最终策划案.md:298-319；4.9</x:v>
      </x:c>
      <x:c r="F4" s="18" t="str"/>
    </x:row>
    <x:row r="5" ht="15" hidden="0" customHeight="1">
      <x:c r="A5" s="19" t="n">
        <x:v>2</x:v>
      </x:c>
      <x:c r="B5" s="17" t="str">
        <x:v>quantity_type</x:v>
      </x:c>
      <x:c r="C5" s="17" t="str">
        <x:v>"positive_integer_lots"</x:v>
      </x:c>
      <x:c r="D5" s="17" t="str">
        <x:v>confirmed</x:v>
      </x:c>
      <x:c r="E5" s="18" t="str">
        <x:v>最终策划案.md:298-319；4.9</x:v>
      </x:c>
      <x:c r="F5" s="18" t="str"/>
    </x:row>
    <x:row r="6" ht="15" hidden="0" customHeight="1">
      <x:c r="A6" s="19" t="n">
        <x:v>3</x:v>
      </x:c>
      <x:c r="B6" s="17" t="str">
        <x:v>max_buy_orders_per_account_run</x:v>
      </x:c>
      <x:c r="C6" s="17" t="str">
        <x:v>5</x:v>
      </x:c>
      <x:c r="D6" s="17" t="str">
        <x:v>confirmed</x:v>
      </x:c>
      <x:c r="E6" s="18" t="str">
        <x:v>最终策划案.md:298-319；4.9</x:v>
      </x:c>
      <x:c r="F6" s="18" t="str"/>
    </x:row>
    <x:row r="7" ht="15" hidden="0" customHeight="1">
      <x:c r="A7" s="19" t="n">
        <x:v>4</x:v>
      </x:c>
      <x:c r="B7" s="17" t="str">
        <x:v>max_sell_orders_per_account_run</x:v>
      </x:c>
      <x:c r="C7" s="17" t="str">
        <x:v>5</x:v>
      </x:c>
      <x:c r="D7" s="17" t="str">
        <x:v>confirmed</x:v>
      </x:c>
      <x:c r="E7" s="18" t="str">
        <x:v>最终策划案.md:298-319；4.9</x:v>
      </x:c>
      <x:c r="F7" s="18" t="str"/>
    </x:row>
    <x:row r="8" ht="15" hidden="0" customHeight="1">
      <x:c r="A8" s="19" t="n">
        <x:v>5</x:v>
      </x:c>
      <x:c r="B8" s="17" t="str">
        <x:v>price_step_ingot_u</x:v>
      </x:c>
      <x:c r="C8" s="17" t="str">
        <x:v>1</x:v>
      </x:c>
      <x:c r="D8" s="17" t="str">
        <x:v>confirmed</x:v>
      </x:c>
      <x:c r="E8" s="18" t="str">
        <x:v>最终策划案.md:298-319；4.9</x:v>
      </x:c>
      <x:c r="F8" s="18" t="str"/>
    </x:row>
    <x:row r="9" ht="15" hidden="0" customHeight="1">
      <x:c r="A9" s="19" t="n">
        <x:v>6</x:v>
      </x:c>
      <x:c r="B9" s="17" t="str">
        <x:v>seller_commission_bp</x:v>
      </x:c>
      <x:c r="C9" s="17" t="str">
        <x:v>1000</x:v>
      </x:c>
      <x:c r="D9" s="17" t="str">
        <x:v>confirmed</x:v>
      </x:c>
      <x:c r="E9" s="18" t="str">
        <x:v>最终策划案.md:298-319；4.9</x:v>
      </x:c>
      <x:c r="F9" s="18" t="str"/>
    </x:row>
    <x:row r="10" ht="15" hidden="0" customHeight="1">
      <x:c r="A10" s="19" t="n">
        <x:v>7</x:v>
      </x:c>
      <x:c r="B10" s="17" t="str">
        <x:v>listing_fee_ingot_u</x:v>
      </x:c>
      <x:c r="C10" s="17" t="str">
        <x:v>0</x:v>
      </x:c>
      <x:c r="D10" s="17" t="str">
        <x:v>confirmed</x:v>
      </x:c>
      <x:c r="E10" s="18" t="str">
        <x:v>最终策划案.md:298-319；4.9</x:v>
      </x:c>
      <x:c r="F10" s="18" t="str"/>
    </x:row>
    <x:row r="11" ht="15" hidden="0" customHeight="1">
      <x:c r="A11" s="19" t="n">
        <x:v>8</x:v>
      </x:c>
      <x:c r="B11" s="17" t="str">
        <x:v>cancel_fee_ingot_u</x:v>
      </x:c>
      <x:c r="C11" s="17" t="str">
        <x:v>0</x:v>
      </x:c>
      <x:c r="D11" s="17" t="str">
        <x:v>confirmed</x:v>
      </x:c>
      <x:c r="E11" s="18" t="str">
        <x:v>最终策划案.md:298-319；4.9</x:v>
      </x:c>
      <x:c r="F11" s="18" t="str"/>
    </x:row>
    <x:row r="12" ht="15" hidden="0" customHeight="1">
      <x:c r="A12" s="19" t="n">
        <x:v>9</x:v>
      </x:c>
      <x:c r="B12" s="17" t="str">
        <x:v>partial_fill</x:v>
      </x:c>
      <x:c r="C12" s="17" t="str">
        <x:v>true</x:v>
      </x:c>
      <x:c r="D12" s="17" t="str">
        <x:v>confirmed</x:v>
      </x:c>
      <x:c r="E12" s="18" t="str">
        <x:v>最终策划案.md:298-319；4.9</x:v>
      </x:c>
      <x:c r="F12" s="18" t="str"/>
    </x:row>
    <x:row r="13" ht="15" hidden="0" customHeight="1">
      <x:c r="A13" s="19" t="n">
        <x:v>10</x:v>
      </x:c>
      <x:c r="B13" s="17" t="str">
        <x:v>priority</x:v>
      </x:c>
      <x:c r="C13" s="17" t="str">
        <x:v>["price","accepted_time"]</x:v>
      </x:c>
      <x:c r="D13" s="17" t="str">
        <x:v>confirmed</x:v>
      </x:c>
      <x:c r="E13" s="18" t="str">
        <x:v>最终策划案.md:298-319；4.9</x:v>
      </x:c>
      <x:c r="F13" s="18" t="str"/>
    </x:row>
    <x:row r="14" ht="15" hidden="0" customHeight="1">
      <x:c r="A14" s="19" t="n">
        <x:v>11</x:v>
      </x:c>
      <x:c r="B14" s="17" t="str">
        <x:v>fill_price</x:v>
      </x:c>
      <x:c r="C14" s="17" t="str">
        <x:v>"resting_order_price"</x:v>
      </x:c>
      <x:c r="D14" s="17" t="str">
        <x:v>confirmed</x:v>
      </x:c>
      <x:c r="E14" s="18" t="str">
        <x:v>最终策划案.md:298-319；4.9</x:v>
      </x:c>
      <x:c r="F14" s="18" t="str"/>
    </x:row>
    <x:row r="15" ht="15" hidden="0" customHeight="1">
      <x:c r="A15" s="19" t="n">
        <x:v>12</x:v>
      </x:c>
      <x:c r="B15" s="17" t="str">
        <x:v>same_account_trade</x:v>
      </x:c>
      <x:c r="C15" s="17" t="str">
        <x:v>false</x:v>
      </x:c>
      <x:c r="D15" s="17" t="str">
        <x:v>confirmed</x:v>
      </x:c>
      <x:c r="E15" s="18" t="str">
        <x:v>最终策划案.md:298-319；4.9</x:v>
      </x:c>
      <x:c r="F15" s="18" t="str"/>
    </x:row>
    <x:row r="16" ht="15" hidden="0" customHeight="1">
      <x:c r="A16" s="19" t="n">
        <x:v>13</x:v>
      </x:c>
      <x:c r="B16" s="17" t="str">
        <x:v>sell_bound_gold</x:v>
      </x:c>
      <x:c r="C16" s="17" t="str">
        <x:v>false</x:v>
      </x:c>
      <x:c r="D16" s="17" t="str">
        <x:v>confirmed</x:v>
      </x:c>
      <x:c r="E16" s="18" t="str">
        <x:v>最终策划案.md:298-319；4.9</x:v>
      </x:c>
      <x:c r="F16" s="18" t="str"/>
    </x:row>
    <x:row r="17" ht="15" hidden="0" customHeight="1">
      <x:c r="A17" s="19" t="n">
        <x:v>14</x:v>
      </x:c>
      <x:c r="B17" s="17" t="str">
        <x:v>order_expiry_seconds</x:v>
      </x:c>
      <x:c r="C17" s="17"/>
      <x:c r="D17" s="17" t="str">
        <x:v>unverified</x:v>
      </x:c>
      <x:c r="E17" s="18" t="str">
        <x:v>最终策划案.md:298-319；4.9</x:v>
      </x:c>
      <x:c r="F17" s="18" t="str">
        <x:v>最终策划只规定配置化期限，不能直接沿用架构7天。</x:v>
      </x:c>
    </x:row>
  </x:sheetData>
  <x:conditionalFormatting sqref="A4:A1003">
    <x:cfRule type="expression" dxfId="94" priority="1">
      <x:formula>AND($A4&lt;&gt;"",ISBLANK(A4))</x:formula>
    </x:cfRule>
  </x:conditionalFormatting>
  <x:conditionalFormatting sqref="B4:B1003">
    <x:cfRule type="expression" dxfId="95" priority="2">
      <x:formula>AND($A4&lt;&gt;"",ISBLANK(B4))</x:formula>
    </x:cfRule>
  </x:conditionalFormatting>
  <x:conditionalFormatting sqref="C4:C1003">
    <x:cfRule type="expression" dxfId="96" priority="3">
      <x:formula>AND($A4&lt;&gt;"",ISBLANK(C4))</x:formula>
    </x:cfRule>
  </x:conditionalFormatting>
  <x:conditionalFormatting sqref="D4:D1003">
    <x:cfRule type="containsText" dxfId="97" priority="4" operator="containsText" text="candidate"/>
    <x:cfRule type="containsText" dxfId="98" priority="5" operator="containsText" text="unverified"/>
    <x:cfRule type="containsText" dxfId="99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  <x:col min="7" max="7" width="70" hidden="0" customWidth="1"/>
  </x:cols>
  <x:sheetData>
    <x:row r="1" ht="30" customHeight="1">
      <x:c r="A1" s="7" t="str">
        <x:v>配置编号</x:v>
      </x:c>
      <x:c r="B1" s="7" t="str">
        <x:v>结果分类</x:v>
      </x:c>
      <x:c r="C1" s="7" t="str">
        <x:v>保底前基础概率</x:v>
      </x:c>
      <x:c r="D1" s="7" t="str">
        <x:v>互斥组</x:v>
      </x:c>
      <x:c r="E1" s="7" t="str">
        <x:v>参数状态</x:v>
      </x:c>
      <x:c r="F1" s="7" t="str">
        <x:v>来源章节与行号</x:v>
      </x:c>
      <x:c r="G1" s="7" t="str">
        <x:v>说明</x:v>
      </x:c>
    </x:row>
    <x:row r="2" ht="30" customHeight="1">
      <x:c r="A2" s="12" t="str">
        <x:v>id</x:v>
      </x:c>
      <x:c r="B2" s="12" t="str">
        <x:v>category_key</x:v>
      </x:c>
      <x:c r="C2" s="12" t="str">
        <x:v>prob_ppm</x:v>
      </x:c>
      <x:c r="D2" s="12" t="str">
        <x:v>exclusive_group</x:v>
      </x:c>
      <x:c r="E2" s="12" t="str">
        <x:v>record_status</x:v>
      </x:c>
      <x:c r="F2" s="12" t="str">
        <x:v>source_ref</x:v>
      </x:c>
      <x:c r="G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百万分率 / both</x:v>
      </x:c>
      <x:c r="D3" s="15" t="str">
        <x:v>string / 必填 / both</x:v>
      </x:c>
      <x:c r="E3" s="15" t="str">
        <x:v>string / 必填 / none</x:v>
      </x:c>
      <x:c r="F3" s="15" t="str">
        <x:v>string / 必填 / none</x:v>
      </x:c>
      <x:c r="G3" s="15" t="str">
        <x:v>string / 可空 / none</x:v>
      </x:c>
    </x:row>
    <x:row r="4" ht="15" hidden="0" customHeight="1">
      <x:c r="A4" s="19" t="n">
        <x:v>1</x:v>
      </x:c>
      <x:c r="B4" s="17" t="str">
        <x:v>empty</x:v>
      </x:c>
      <x:c r="C4" s="16" t="n">
        <x:v>650000</x:v>
      </x:c>
      <x:c r="D4" s="17" t="str">
        <x:v>ordinary_main</x:v>
      </x:c>
      <x:c r="E4" s="17" t="str">
        <x:v>confirmed</x:v>
      </x:c>
      <x:c r="F4" s="18" t="str">
        <x:v>最终策划案.md:600-614；5.2</x:v>
      </x:c>
      <x:c r="G4" s="18" t="str"/>
    </x:row>
    <x:row r="5" ht="15" hidden="0" customHeight="1">
      <x:c r="A5" s="19" t="n">
        <x:v>2</x:v>
      </x:c>
      <x:c r="B5" s="17" t="str">
        <x:v>gold</x:v>
      </x:c>
      <x:c r="C5" s="16" t="n">
        <x:v>200000</x:v>
      </x:c>
      <x:c r="D5" s="17" t="str">
        <x:v>ordinary_main</x:v>
      </x:c>
      <x:c r="E5" s="17" t="str">
        <x:v>confirmed</x:v>
      </x:c>
      <x:c r="F5" s="18" t="str">
        <x:v>最终策划案.md:600-614；5.2</x:v>
      </x:c>
      <x:c r="G5" s="18" t="str"/>
    </x:row>
    <x:row r="6" ht="15" hidden="0" customHeight="1">
      <x:c r="A6" s="19" t="n">
        <x:v>3</x:v>
      </x:c>
      <x:c r="B6" s="17" t="str">
        <x:v>item</x:v>
      </x:c>
      <x:c r="C6" s="16" t="n">
        <x:v>100000</x:v>
      </x:c>
      <x:c r="D6" s="17" t="str">
        <x:v>ordinary_main</x:v>
      </x:c>
      <x:c r="E6" s="17" t="str">
        <x:v>confirmed</x:v>
      </x:c>
      <x:c r="F6" s="18" t="str">
        <x:v>最终策划案.md:600-614；5.2</x:v>
      </x:c>
      <x:c r="G6" s="18" t="str"/>
    </x:row>
    <x:row r="7" ht="15" hidden="0" customHeight="1">
      <x:c r="A7" s="19" t="n">
        <x:v>4</x:v>
      </x:c>
      <x:c r="B7" s="17" t="str">
        <x:v>equipment</x:v>
      </x:c>
      <x:c r="C7" s="16" t="n">
        <x:v>50000</x:v>
      </x:c>
      <x:c r="D7" s="17" t="str">
        <x:v>ordinary_main</x:v>
      </x:c>
      <x:c r="E7" s="17" t="str">
        <x:v>confirmed</x:v>
      </x:c>
      <x:c r="F7" s="18" t="str">
        <x:v>最终策划案.md:600-614；5.2</x:v>
      </x:c>
      <x:c r="G7" s="18" t="str"/>
    </x:row>
    <x:row r="8" ht="15" hidden="0" customHeight="1">
      <x:c r="A8" s="19"/>
      <x:c r="B8" s="17"/>
      <x:c r="C8" s="16"/>
      <x:c r="D8" s="17"/>
      <x:c r="E8" s="17"/>
      <x:c r="F8" s="18"/>
      <x:c r="G8" s="18"/>
    </x:row>
    <x:row r="9" ht="15" hidden="0" customHeight="1">
      <x:c r="A9" s="19"/>
      <x:c r="B9" s="17"/>
      <x:c r="C9" s="16"/>
      <x:c r="D9" s="17"/>
      <x:c r="E9" s="17"/>
      <x:c r="F9" s="18"/>
      <x:c r="G9" s="18"/>
    </x:row>
  </x:sheetData>
  <x:conditionalFormatting sqref="A4:A1003">
    <x:cfRule type="expression" dxfId="100" priority="1">
      <x:formula>AND($A4&lt;&gt;"",ISBLANK(A4))</x:formula>
    </x:cfRule>
  </x:conditionalFormatting>
  <x:conditionalFormatting sqref="B4:B1003">
    <x:cfRule type="expression" dxfId="101" priority="2">
      <x:formula>AND($A4&lt;&gt;"",ISBLANK(B4))</x:formula>
    </x:cfRule>
  </x:conditionalFormatting>
  <x:conditionalFormatting sqref="C4:C1003">
    <x:cfRule type="expression" dxfId="102" priority="3">
      <x:formula>AND($A4&lt;&gt;"",ISBLANK(C4))</x:formula>
    </x:cfRule>
  </x:conditionalFormatting>
  <x:conditionalFormatting sqref="D4:D1003">
    <x:cfRule type="expression" dxfId="103" priority="4">
      <x:formula>AND($A4&lt;&gt;"",ISBLANK(D4))</x:formula>
    </x:cfRule>
  </x:conditionalFormatting>
  <x:conditionalFormatting sqref="E4:E1003">
    <x:cfRule type="containsText" dxfId="104" priority="5" operator="containsText" text="candidate"/>
    <x:cfRule type="containsText" dxfId="105" priority="6" operator="containsText" text="unverified"/>
    <x:cfRule type="containsText" dxfId="106" priority="7" operator="containsText" text="historical"/>
  </x:conditionalFormatting>
  <x:dataValidations count="1">
    <x:dataValidation type="list" sqref="E4:E1003">
      <x:formula1>"confirmed,candidate,unverified,historical"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ordinary_equipment_force_kill</x:v>
      </x:c>
      <x:c r="C4" s="17" t="str">
        <x:v>20</x:v>
      </x:c>
      <x:c r="D4" s="17" t="str">
        <x:v>confirmed</x:v>
      </x:c>
      <x:c r="E4" s="18" t="str">
        <x:v>最终策划案.md:600-614；5.2</x:v>
      </x:c>
      <x:c r="F4" s="18" t="str"/>
    </x:row>
    <x:row r="5" ht="15" hidden="0" customHeight="1">
      <x:c r="A5" s="19" t="n">
        <x:v>2</x:v>
      </x:c>
      <x:c r="B5" s="17" t="str">
        <x:v>ordinary_miss_threshold</x:v>
      </x:c>
      <x:c r="C5" s="17" t="str">
        <x:v>19</x:v>
      </x:c>
      <x:c r="D5" s="17" t="str">
        <x:v>confirmed</x:v>
      </x:c>
      <x:c r="E5" s="18" t="str">
        <x:v>最终策划案.md:600-614；5.2</x:v>
      </x:c>
      <x:c r="F5" s="18" t="str"/>
    </x:row>
    <x:row r="6" ht="15" hidden="0" customHeight="1">
      <x:c r="A6" s="19" t="n">
        <x:v>12</x:v>
      </x:c>
      <x:c r="B6" s="17" t="str">
        <x:v>craft_consumes_random_drop_quota</x:v>
      </x:c>
      <x:c r="C6" s="17" t="str">
        <x:v>false</x:v>
      </x:c>
      <x:c r="D6" s="17" t="str">
        <x:v>confirmed</x:v>
      </x:c>
      <x:c r="E6" s="18" t="str">
        <x:v>最终策划案.md:600-614；5.2</x:v>
      </x:c>
      <x:c r="F6" s="18" t="str"/>
    </x:row>
    <x:row r="7" ht="15" hidden="0" customHeight="1">
      <x:c r="A7" s="19" t="n">
        <x:v>13</x:v>
      </x:c>
      <x:c r="B7" s="17" t="str">
        <x:v>elite_respawn_seconds</x:v>
      </x:c>
      <x:c r="C7" s="17" t="str">
        <x:v>1200</x:v>
      </x:c>
      <x:c r="D7" s="17" t="str">
        <x:v>candidate</x:v>
      </x:c>
      <x:c r="E7" s="18" t="str">
        <x:v>最终策划案.md:600-614；5.2</x:v>
      </x:c>
      <x:c r="F7" s="18" t="str">
        <x:v>精英候选每20分钟，活动上限不无限叠加。</x:v>
      </x:c>
    </x:row>
    <x:row r="8" ht="15" hidden="0" customHeight="1">
      <x:c r="A8" s="19"/>
      <x:c r="B8" s="17"/>
      <x:c r="C8" s="17"/>
      <x:c r="D8" s="17"/>
      <x:c r="E8" s="18"/>
      <x:c r="F8" s="18"/>
    </x:row>
    <x:row r="9" ht="15" hidden="0" customHeight="1">
      <x:c r="A9" s="19"/>
      <x:c r="B9" s="17"/>
      <x:c r="C9" s="17"/>
      <x:c r="D9" s="17"/>
      <x:c r="E9" s="18"/>
      <x:c r="F9" s="18"/>
    </x:row>
  </x:sheetData>
  <x:conditionalFormatting sqref="A4:A1003">
    <x:cfRule type="expression" dxfId="107" priority="1">
      <x:formula>AND($A4&lt;&gt;"",ISBLANK(A4))</x:formula>
    </x:cfRule>
  </x:conditionalFormatting>
  <x:conditionalFormatting sqref="B4:B1003">
    <x:cfRule type="expression" dxfId="108" priority="2">
      <x:formula>AND($A4&lt;&gt;"",ISBLANK(B4))</x:formula>
    </x:cfRule>
  </x:conditionalFormatting>
  <x:conditionalFormatting sqref="C4:C1003">
    <x:cfRule type="expression" dxfId="109" priority="3">
      <x:formula>AND($A4&lt;&gt;"",ISBLANK(C4))</x:formula>
    </x:cfRule>
  </x:conditionalFormatting>
  <x:conditionalFormatting sqref="D4:D1003">
    <x:cfRule type="containsText" dxfId="110" priority="4" operator="containsText" text="candidate"/>
    <x:cfRule type="containsText" dxfId="111" priority="5" operator="containsText" text="unverified"/>
    <x:cfRule type="containsText" dxfId="112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属性键</x:v>
      </x:c>
      <x:c r="C1" s="7" t="str">
        <x:v>词条名称</x:v>
      </x:c>
      <x:c r="D1" s="7" t="str">
        <x:v>最低开放品质</x:v>
      </x:c>
      <x:c r="E1" s="7" t="str">
        <x:v>抽样权重</x:v>
      </x:c>
      <x:c r="F1" s="7" t="str">
        <x:v>阶段基数引用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attr_key</x:v>
      </x:c>
      <x:c r="C2" s="12" t="str">
        <x:v>display_name</x:v>
      </x:c>
      <x:c r="D2" s="12" t="str">
        <x:v>minimum_quality</x:v>
      </x:c>
      <x:c r="E2" s="12" t="str">
        <x:v>sample_weight</x:v>
      </x:c>
      <x:c r="F2" s="12" t="str">
        <x:v>value_curve_key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int / 可空 / server</x:v>
      </x:c>
      <x:c r="F3" s="15" t="str">
        <x:v>string / 可空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7" t="str">
        <x:v>attack</x:v>
      </x:c>
      <x:c r="C4" s="17" t="str">
        <x:v>攻击</x:v>
      </x:c>
      <x:c r="D4" s="16" t="n">
        <x:v>2</x:v>
      </x:c>
      <x:c r="E4" s="16"/>
      <x:c r="F4" s="17"/>
      <x:c r="G4" s="17" t="str">
        <x:v>unverified</x:v>
      </x:c>
      <x:c r="H4" s="18" t="str">
        <x:v>最终策划案.md:169-187；4.4</x:v>
      </x:c>
      <x:c r="I4" s="18" t="str">
        <x:v>类型及开放品质已定；类型权重、阶段基数和重复规则待审定，不能假定等概率。</x:v>
      </x:c>
    </x:row>
    <x:row r="5" ht="15" hidden="0" customHeight="1">
      <x:c r="A5" s="19" t="n">
        <x:v>2</x:v>
      </x:c>
      <x:c r="B5" s="17" t="str">
        <x:v>defence</x:v>
      </x:c>
      <x:c r="C5" s="17" t="str">
        <x:v>防御</x:v>
      </x:c>
      <x:c r="D5" s="16" t="n">
        <x:v>1</x:v>
      </x:c>
      <x:c r="E5" s="16"/>
      <x:c r="F5" s="17"/>
      <x:c r="G5" s="17" t="str">
        <x:v>unverified</x:v>
      </x:c>
      <x:c r="H5" s="18" t="str">
        <x:v>最终策划案.md:169-187；4.4</x:v>
      </x:c>
      <x:c r="I5" s="18" t="str">
        <x:v>类型及开放品质已定；类型权重、阶段基数和重复规则待审定，不能假定等概率。</x:v>
      </x:c>
    </x:row>
    <x:row r="6" ht="15" hidden="0" customHeight="1">
      <x:c r="A6" s="19" t="n">
        <x:v>3</x:v>
      </x:c>
      <x:c r="B6" s="17" t="str">
        <x:v>max_hp</x:v>
      </x:c>
      <x:c r="C6" s="17" t="str">
        <x:v>最大生命</x:v>
      </x:c>
      <x:c r="D6" s="16" t="n">
        <x:v>1</x:v>
      </x:c>
      <x:c r="E6" s="16"/>
      <x:c r="F6" s="17"/>
      <x:c r="G6" s="17" t="str">
        <x:v>unverified</x:v>
      </x:c>
      <x:c r="H6" s="18" t="str">
        <x:v>最终策划案.md:169-187；4.4</x:v>
      </x:c>
      <x:c r="I6" s="18" t="str">
        <x:v>类型及开放品质已定；类型权重、阶段基数和重复规则待审定，不能假定等概率。</x:v>
      </x:c>
    </x:row>
    <x:row r="7" ht="15" hidden="0" customHeight="1">
      <x:c r="A7" s="19" t="n">
        <x:v>4</x:v>
      </x:c>
      <x:c r="B7" s="17" t="str">
        <x:v>evasion</x:v>
      </x:c>
      <x:c r="C7" s="17" t="str">
        <x:v>闪避</x:v>
      </x:c>
      <x:c r="D7" s="16" t="n">
        <x:v>2</x:v>
      </x:c>
      <x:c r="E7" s="16"/>
      <x:c r="F7" s="17"/>
      <x:c r="G7" s="17" t="str">
        <x:v>unverified</x:v>
      </x:c>
      <x:c r="H7" s="18" t="str">
        <x:v>最终策划案.md:169-187；4.4</x:v>
      </x:c>
      <x:c r="I7" s="18" t="str">
        <x:v>类型及开放品质已定；类型权重、阶段基数和重复规则待审定，不能假定等概率。</x:v>
      </x:c>
    </x:row>
    <x:row r="8" ht="15" hidden="0" customHeight="1">
      <x:c r="A8" s="19" t="n">
        <x:v>5</x:v>
      </x:c>
      <x:c r="B8" s="17" t="str">
        <x:v>max_mp</x:v>
      </x:c>
      <x:c r="C8" s="17" t="str">
        <x:v>最大魔法</x:v>
      </x:c>
      <x:c r="D8" s="16" t="n">
        <x:v>1</x:v>
      </x:c>
      <x:c r="E8" s="16"/>
      <x:c r="F8" s="17"/>
      <x:c r="G8" s="17" t="str">
        <x:v>unverified</x:v>
      </x:c>
      <x:c r="H8" s="18" t="str">
        <x:v>最终策划案.md:169-187；4.4</x:v>
      </x:c>
      <x:c r="I8" s="18" t="str">
        <x:v>类型及开放品质已定；类型权重、阶段基数和重复规则待审定，不能假定等概率。</x:v>
      </x:c>
    </x:row>
    <x:row r="9" ht="15" hidden="0" customHeight="1">
      <x:c r="A9" s="19" t="n">
        <x:v>6</x:v>
      </x:c>
      <x:c r="B9" s="17" t="str">
        <x:v>accuracy</x:v>
      </x:c>
      <x:c r="C9" s="17" t="str">
        <x:v>命中</x:v>
      </x:c>
      <x:c r="D9" s="16" t="n">
        <x:v>3</x:v>
      </x:c>
      <x:c r="E9" s="16"/>
      <x:c r="F9" s="17"/>
      <x:c r="G9" s="17" t="str">
        <x:v>unverified</x:v>
      </x:c>
      <x:c r="H9" s="18" t="str">
        <x:v>最终策划案.md:169-187；4.4</x:v>
      </x:c>
      <x:c r="I9" s="18" t="str">
        <x:v>类型及开放品质已定；类型权重、阶段基数和重复规则待审定，不能假定等概率。</x:v>
      </x:c>
    </x:row>
    <x:row r="10" ht="15" hidden="0" customHeight="1">
      <x:c r="A10" s="19" t="n">
        <x:v>7</x:v>
      </x:c>
      <x:c r="B10" s="17" t="str">
        <x:v>critical_rate</x:v>
      </x:c>
      <x:c r="C10" s="17" t="str">
        <x:v>暴击率</x:v>
      </x:c>
      <x:c r="D10" s="16" t="n">
        <x:v>4</x:v>
      </x:c>
      <x:c r="E10" s="16"/>
      <x:c r="F10" s="17"/>
      <x:c r="G10" s="17" t="str">
        <x:v>unverified</x:v>
      </x:c>
      <x:c r="H10" s="18" t="str">
        <x:v>最终策划案.md:169-187；4.4</x:v>
      </x:c>
      <x:c r="I10" s="18" t="str">
        <x:v>类型及开放品质已定；类型权重、阶段基数和重复规则待审定，不能假定等概率。</x:v>
      </x:c>
    </x:row>
    <x:row r="11" ht="15" hidden="0" customHeight="1">
      <x:c r="A11" s="19" t="n">
        <x:v>8</x:v>
      </x:c>
      <x:c r="B11" s="17" t="str">
        <x:v>attack_speed</x:v>
      </x:c>
      <x:c r="C11" s="17" t="str">
        <x:v>攻速</x:v>
      </x:c>
      <x:c r="D11" s="16" t="n">
        <x:v>4</x:v>
      </x:c>
      <x:c r="E11" s="16"/>
      <x:c r="F11" s="17"/>
      <x:c r="G11" s="17" t="str">
        <x:v>unverified</x:v>
      </x:c>
      <x:c r="H11" s="18" t="str">
        <x:v>最终策划案.md:169-187；4.4</x:v>
      </x:c>
      <x:c r="I11" s="18" t="str">
        <x:v>类型及开放品质已定；类型权重、阶段基数和重复规则待审定，不能假定等概率。</x:v>
      </x:c>
    </x:row>
    <x:row r="12" ht="15" hidden="0" customHeight="1">
      <x:c r="A12" s="19" t="n">
        <x:v>9</x:v>
      </x:c>
      <x:c r="B12" s="17" t="str">
        <x:v>damage_increase</x:v>
      </x:c>
      <x:c r="C12" s="17" t="str">
        <x:v>伤害加深</x:v>
      </x:c>
      <x:c r="D12" s="16" t="n">
        <x:v>3</x:v>
      </x:c>
      <x:c r="E12" s="16"/>
      <x:c r="F12" s="17"/>
      <x:c r="G12" s="17" t="str">
        <x:v>unverified</x:v>
      </x:c>
      <x:c r="H12" s="18" t="str">
        <x:v>最终策划案.md:169-187；4.4</x:v>
      </x:c>
      <x:c r="I12" s="18" t="str">
        <x:v>类型及开放品质已定；类型权重、阶段基数和重复规则待审定，不能假定等概率。</x:v>
      </x:c>
    </x:row>
    <x:row r="13" ht="15" hidden="0" customHeight="1">
      <x:c r="A13" s="19" t="n">
        <x:v>10</x:v>
      </x:c>
      <x:c r="B13" s="17" t="str">
        <x:v>damage_reduction</x:v>
      </x:c>
      <x:c r="C13" s="17" t="str">
        <x:v>伤害减免</x:v>
      </x:c>
      <x:c r="D13" s="16" t="n">
        <x:v>3</x:v>
      </x:c>
      <x:c r="E13" s="16"/>
      <x:c r="F13" s="17"/>
      <x:c r="G13" s="17" t="str">
        <x:v>unverified</x:v>
      </x:c>
      <x:c r="H13" s="18" t="str">
        <x:v>最终策划案.md:169-187；4.4</x:v>
      </x:c>
      <x:c r="I13" s="18" t="str">
        <x:v>类型及开放品质已定；类型权重、阶段基数和重复规则待审定，不能假定等概率。</x:v>
      </x:c>
    </x:row>
    <x:row r="14" ht="15" hidden="0" customHeight="1">
      <x:c r="A14" s="19" t="n">
        <x:v>11</x:v>
      </x:c>
      <x:c r="B14" s="17" t="str">
        <x:v>exp_bonus</x:v>
      </x:c>
      <x:c r="C14" s="17" t="str">
        <x:v>经验加成</x:v>
      </x:c>
      <x:c r="D14" s="16" t="n">
        <x:v>1</x:v>
      </x:c>
      <x:c r="E14" s="16"/>
      <x:c r="F14" s="17"/>
      <x:c r="G14" s="17" t="str">
        <x:v>unverified</x:v>
      </x:c>
      <x:c r="H14" s="18" t="str">
        <x:v>最终策划案.md:169-187；4.4</x:v>
      </x:c>
      <x:c r="I14" s="18" t="str">
        <x:v>类型及开放品质已定；类型权重、阶段基数和重复规则待审定，不能假定等概率。</x:v>
      </x:c>
    </x:row>
    <x:row r="15" ht="15" hidden="0" customHeight="1">
      <x:c r="A15" s="19" t="n">
        <x:v>12</x:v>
      </x:c>
      <x:c r="B15" s="17" t="str">
        <x:v>magic</x:v>
      </x:c>
      <x:c r="C15" s="17" t="str">
        <x:v>魔法</x:v>
      </x:c>
      <x:c r="D15" s="16" t="n">
        <x:v>2</x:v>
      </x:c>
      <x:c r="E15" s="16"/>
      <x:c r="F15" s="17"/>
      <x:c r="G15" s="17" t="str">
        <x:v>unverified</x:v>
      </x:c>
      <x:c r="H15" s="18" t="str">
        <x:v>最终策划案.md:169-187；4.4</x:v>
      </x:c>
      <x:c r="I15" s="18" t="str">
        <x:v>类型及开放品质已定；类型权重、阶段基数和重复规则待审定，不能假定等概率。</x:v>
      </x:c>
    </x:row>
    <x:row r="16" ht="15" hidden="0" customHeight="1">
      <x:c r="A16" s="19" t="n">
        <x:v>13</x:v>
      </x:c>
      <x:c r="B16" s="17" t="str">
        <x:v>tao</x:v>
      </x:c>
      <x:c r="C16" s="17" t="str">
        <x:v>道术</x:v>
      </x:c>
      <x:c r="D16" s="16" t="n">
        <x:v>2</x:v>
      </x:c>
      <x:c r="E16" s="16"/>
      <x:c r="F16" s="17"/>
      <x:c r="G16" s="17" t="str">
        <x:v>unverified</x:v>
      </x:c>
      <x:c r="H16" s="18" t="str">
        <x:v>最终策划案.md:169-187；4.4</x:v>
      </x:c>
      <x:c r="I16" s="18" t="str">
        <x:v>类型及开放品质已定；类型权重、阶段基数和重复规则待审定，不能假定等概率。</x:v>
      </x:c>
    </x:row>
    <x:row r="17" ht="15" hidden="0" customHeight="1">
      <x:c r="A17" s="19" t="n">
        <x:v>14</x:v>
      </x:c>
      <x:c r="B17" s="17" t="str">
        <x:v>fixed_damage</x:v>
      </x:c>
      <x:c r="C17" s="17" t="str">
        <x:v>固定伤害</x:v>
      </x:c>
      <x:c r="D17" s="16" t="n">
        <x:v>3</x:v>
      </x:c>
      <x:c r="E17" s="16"/>
      <x:c r="F17" s="17"/>
      <x:c r="G17" s="17" t="str">
        <x:v>unverified</x:v>
      </x:c>
      <x:c r="H17" s="18" t="str">
        <x:v>最终策划案.md:169-187；4.4</x:v>
      </x:c>
      <x:c r="I17" s="18" t="str">
        <x:v>类型及开放品质已定；类型权重、阶段基数和重复规则待审定，不能假定等概率。</x:v>
      </x:c>
    </x:row>
    <x:row r="18" ht="15" hidden="0" customHeight="1">
      <x:c r="A18" s="19" t="n">
        <x:v>15</x:v>
      </x:c>
      <x:c r="B18" s="17" t="str">
        <x:v>reflection</x:v>
      </x:c>
      <x:c r="C18" s="17" t="str">
        <x:v>反伤</x:v>
      </x:c>
      <x:c r="D18" s="16" t="n">
        <x:v>4</x:v>
      </x:c>
      <x:c r="E18" s="16"/>
      <x:c r="F18" s="17"/>
      <x:c r="G18" s="17" t="str">
        <x:v>unverified</x:v>
      </x:c>
      <x:c r="H18" s="18" t="str">
        <x:v>最终策划案.md:169-187；4.4</x:v>
      </x:c>
      <x:c r="I18" s="18" t="str">
        <x:v>类型及开放品质已定；类型权重、阶段基数和重复规则待审定，不能假定等概率。</x:v>
      </x:c>
    </x:row>
    <x:row r="19" ht="15" hidden="0" customHeight="1">
      <x:c r="A19" s="19" t="n">
        <x:v>16</x:v>
      </x:c>
      <x:c r="B19" s="17" t="str">
        <x:v>gold_bonus</x:v>
      </x:c>
      <x:c r="C19" s="17" t="str">
        <x:v>金币加成</x:v>
      </x:c>
      <x:c r="D19" s="16" t="n">
        <x:v>1</x:v>
      </x:c>
      <x:c r="E19" s="16"/>
      <x:c r="F19" s="17"/>
      <x:c r="G19" s="17" t="str">
        <x:v>unverified</x:v>
      </x:c>
      <x:c r="H19" s="18" t="str">
        <x:v>最终策划案.md:169-187；4.4</x:v>
      </x:c>
      <x:c r="I19" s="18" t="str">
        <x:v>类型及开放品质已定；类型权重、阶段基数和重复规则待审定，不能假定等概率。</x:v>
      </x:c>
    </x:row>
  </x:sheetData>
  <x:conditionalFormatting sqref="A4:A1003">
    <x:cfRule type="expression" dxfId="113" priority="1">
      <x:formula>AND($A4&lt;&gt;"",ISBLANK(A4))</x:formula>
    </x:cfRule>
  </x:conditionalFormatting>
  <x:conditionalFormatting sqref="B4:B1003">
    <x:cfRule type="expression" dxfId="114" priority="2">
      <x:formula>AND($A4&lt;&gt;"",ISBLANK(B4))</x:formula>
    </x:cfRule>
  </x:conditionalFormatting>
  <x:conditionalFormatting sqref="C4:C1003">
    <x:cfRule type="expression" dxfId="115" priority="3">
      <x:formula>AND($A4&lt;&gt;"",ISBLANK(C4))</x:formula>
    </x:cfRule>
  </x:conditionalFormatting>
  <x:conditionalFormatting sqref="D4:D1003">
    <x:cfRule type="expression" dxfId="116" priority="4">
      <x:formula>AND($A4&lt;&gt;"",ISBLANK(D4))</x:formula>
    </x:cfRule>
  </x:conditionalFormatting>
  <x:conditionalFormatting sqref="G4:G1003">
    <x:cfRule type="containsText" dxfId="117" priority="5" operator="containsText" text="candidate"/>
    <x:cfRule type="containsText" dxfId="118" priority="6" operator="containsText" text="unverified"/>
    <x:cfRule type="containsText" dxfId="119" priority="7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2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装备品质</x:v>
      </x:c>
      <x:c r="C1" s="7" t="str">
        <x:v>词条槽数</x:v>
      </x:c>
      <x:c r="D1" s="7" t="str">
        <x:v>开放池大小</x:v>
      </x:c>
      <x:c r="E1" s="7" t="str">
        <x:v>每次洗炼石</x:v>
      </x:c>
      <x:c r="F1" s="7" t="str">
        <x:v>同件允许重复词条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quality</x:v>
      </x:c>
      <x:c r="C2" s="12" t="str">
        <x:v>slot_count</x:v>
      </x:c>
      <x:c r="D2" s="12" t="str">
        <x:v>pool_size</x:v>
      </x:c>
      <x:c r="E2" s="12" t="str">
        <x:v>stones_per_attempt</x:v>
      </x:c>
      <x:c r="F2" s="12" t="str">
        <x:v>allow_duplicate_attr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bool / 可空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6" t="n">
        <x:v>0</x:v>
      </x:c>
      <x:c r="C4" s="16" t="n">
        <x:v>0</x:v>
      </x:c>
      <x:c r="D4" s="16" t="n">
        <x:v>0</x:v>
      </x:c>
      <x:c r="E4" s="16" t="n">
        <x:v>0</x:v>
      </x:c>
      <x:c r="F4" s="2"/>
      <x:c r="G4" s="17" t="str">
        <x:v>unverified</x:v>
      </x:c>
      <x:c r="H4" s="18" t="str">
        <x:v>最终策划案.md:171-187；4.4、5.6</x:v>
      </x:c>
      <x:c r="I4" s="18" t="str">
        <x:v>槽数与石数已定；同件重复规则需统一发布，历史稀有样本不重复不能自动扩展。</x:v>
      </x:c>
    </x:row>
    <x:row r="5" ht="15" hidden="0" customHeight="1">
      <x:c r="A5" s="19" t="n">
        <x:v>2</x:v>
      </x:c>
      <x:c r="B5" s="16" t="n">
        <x:v>1</x:v>
      </x:c>
      <x:c r="C5" s="16" t="n">
        <x:v>1</x:v>
      </x:c>
      <x:c r="D5" s="16" t="n">
        <x:v>5</x:v>
      </x:c>
      <x:c r="E5" s="16" t="n">
        <x:v>2</x:v>
      </x:c>
      <x:c r="F5" s="2"/>
      <x:c r="G5" s="17" t="str">
        <x:v>unverified</x:v>
      </x:c>
      <x:c r="H5" s="18" t="str">
        <x:v>最终策划案.md:171-187；4.4、5.6</x:v>
      </x:c>
      <x:c r="I5" s="18" t="str">
        <x:v>槽数与石数已定；同件重复规则需统一发布，历史稀有样本不重复不能自动扩展。</x:v>
      </x:c>
    </x:row>
    <x:row r="6" ht="15" hidden="0" customHeight="1">
      <x:c r="A6" s="19" t="n">
        <x:v>3</x:v>
      </x:c>
      <x:c r="B6" s="16" t="n">
        <x:v>2</x:v>
      </x:c>
      <x:c r="C6" s="16" t="n">
        <x:v>2</x:v>
      </x:c>
      <x:c r="D6" s="16" t="n">
        <x:v>9</x:v>
      </x:c>
      <x:c r="E6" s="16" t="n">
        <x:v>4</x:v>
      </x:c>
      <x:c r="F6" s="2"/>
      <x:c r="G6" s="17" t="str">
        <x:v>unverified</x:v>
      </x:c>
      <x:c r="H6" s="18" t="str">
        <x:v>最终策划案.md:171-187；4.4、5.6</x:v>
      </x:c>
      <x:c r="I6" s="18" t="str">
        <x:v>槽数与石数已定；同件重复规则需统一发布，历史稀有样本不重复不能自动扩展。</x:v>
      </x:c>
    </x:row>
    <x:row r="7" ht="15" hidden="0" customHeight="1">
      <x:c r="A7" s="19" t="n">
        <x:v>4</x:v>
      </x:c>
      <x:c r="B7" s="16" t="n">
        <x:v>3</x:v>
      </x:c>
      <x:c r="C7" s="16" t="n">
        <x:v>3</x:v>
      </x:c>
      <x:c r="D7" s="16" t="n">
        <x:v>13</x:v>
      </x:c>
      <x:c r="E7" s="16" t="n">
        <x:v>8</x:v>
      </x:c>
      <x:c r="F7" s="2"/>
      <x:c r="G7" s="17" t="str">
        <x:v>unverified</x:v>
      </x:c>
      <x:c r="H7" s="18" t="str">
        <x:v>最终策划案.md:171-187；4.4、5.6</x:v>
      </x:c>
      <x:c r="I7" s="18" t="str">
        <x:v>槽数与石数已定；同件重复规则需统一发布，历史稀有样本不重复不能自动扩展。</x:v>
      </x:c>
    </x:row>
    <x:row r="8" ht="15" hidden="0" customHeight="1">
      <x:c r="A8" s="19" t="n">
        <x:v>5</x:v>
      </x:c>
      <x:c r="B8" s="16" t="n">
        <x:v>4</x:v>
      </x:c>
      <x:c r="C8" s="16" t="n">
        <x:v>4</x:v>
      </x:c>
      <x:c r="D8" s="16" t="n">
        <x:v>16</x:v>
      </x:c>
      <x:c r="E8" s="16" t="n">
        <x:v>16</x:v>
      </x:c>
      <x:c r="F8" s="2"/>
      <x:c r="G8" s="17" t="str">
        <x:v>unverified</x:v>
      </x:c>
      <x:c r="H8" s="18" t="str">
        <x:v>最终策划案.md:171-187；4.4、5.6</x:v>
      </x:c>
      <x:c r="I8" s="18" t="str">
        <x:v>槽数与石数已定；同件重复规则需统一发布，历史稀有样本不重复不能自动扩展。</x:v>
      </x:c>
    </x:row>
    <x:row r="9" ht="15" hidden="0" customHeight="1">
      <x:c r="A9" s="19"/>
      <x:c r="B9" s="16"/>
      <x:c r="C9" s="16"/>
      <x:c r="D9" s="16"/>
      <x:c r="E9" s="16"/>
      <x:c r="F9" s="2"/>
      <x:c r="G9" s="17"/>
      <x:c r="H9" s="18"/>
      <x:c r="I9" s="18"/>
    </x:row>
  </x:sheetData>
  <x:conditionalFormatting sqref="A4:A1003">
    <x:cfRule type="expression" dxfId="120" priority="1">
      <x:formula>AND($A4&lt;&gt;"",ISBLANK(A4))</x:formula>
    </x:cfRule>
  </x:conditionalFormatting>
  <x:conditionalFormatting sqref="B4:B1003">
    <x:cfRule type="expression" dxfId="121" priority="2">
      <x:formula>AND($A4&lt;&gt;"",ISBLANK(B4))</x:formula>
    </x:cfRule>
  </x:conditionalFormatting>
  <x:conditionalFormatting sqref="C4:C1003">
    <x:cfRule type="expression" dxfId="122" priority="3">
      <x:formula>AND($A4&lt;&gt;"",ISBLANK(C4))</x:formula>
    </x:cfRule>
  </x:conditionalFormatting>
  <x:conditionalFormatting sqref="D4:D1003">
    <x:cfRule type="expression" dxfId="123" priority="4">
      <x:formula>AND($A4&lt;&gt;"",ISBLANK(D4))</x:formula>
    </x:cfRule>
  </x:conditionalFormatting>
  <x:conditionalFormatting sqref="E4:E1003">
    <x:cfRule type="expression" dxfId="124" priority="5">
      <x:formula>AND($A4&lt;&gt;"",ISBLANK(E4))</x:formula>
    </x:cfRule>
  </x:conditionalFormatting>
  <x:conditionalFormatting sqref="G4:G1003">
    <x:cfRule type="containsText" dxfId="125" priority="6" operator="containsText" text="candidate"/>
    <x:cfRule type="containsText" dxfId="126" priority="7" operator="containsText" text="unverified"/>
    <x:cfRule type="containsText" dxfId="127" priority="8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  <x:col min="7" max="7" width="70" hidden="0" customWidth="1"/>
  </x:cols>
  <x:sheetData>
    <x:row r="1" ht="30" customHeight="1">
      <x:c r="A1" s="7" t="str">
        <x:v>配置编号</x:v>
      </x:c>
      <x:c r="B1" s="7" t="str">
        <x:v>数值档位</x:v>
      </x:c>
      <x:c r="C1" s="7" t="str">
        <x:v>相对阶段基数倍率</x:v>
      </x:c>
      <x:c r="D1" s="7" t="str">
        <x:v>权重</x:v>
      </x:c>
      <x:c r="E1" s="7" t="str">
        <x:v>参数状态</x:v>
      </x:c>
      <x:c r="F1" s="7" t="str">
        <x:v>来源章节与行号</x:v>
      </x:c>
      <x:c r="G1" s="7" t="str">
        <x:v>说明</x:v>
      </x:c>
    </x:row>
    <x:row r="2" ht="30" customHeight="1">
      <x:c r="A2" s="12" t="str">
        <x:v>id</x:v>
      </x:c>
      <x:c r="B2" s="12" t="str">
        <x:v>tier</x:v>
      </x:c>
      <x:c r="C2" s="12" t="str">
        <x:v>multiplier_bp</x:v>
      </x:c>
      <x:c r="D2" s="12" t="str">
        <x:v>weight_ppm</x:v>
      </x:c>
      <x:c r="E2" s="12" t="str">
        <x:v>record_status</x:v>
      </x:c>
      <x:c r="F2" s="12" t="str">
        <x:v>source_ref</x:v>
      </x:c>
      <x:c r="G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万分倍率 / both</x:v>
      </x:c>
      <x:c r="D3" s="15" t="str">
        <x:v>int / 必填 / 百万分率 / both</x:v>
      </x:c>
      <x:c r="E3" s="15" t="str">
        <x:v>string / 必填 / none</x:v>
      </x:c>
      <x:c r="F3" s="15" t="str">
        <x:v>string / 必填 / none</x:v>
      </x:c>
      <x:c r="G3" s="15" t="str">
        <x:v>string / 可空 / none</x:v>
      </x:c>
    </x:row>
    <x:row r="4" ht="15" hidden="0" customHeight="1">
      <x:c r="A4" s="19" t="n">
        <x:v>1</x:v>
      </x:c>
      <x:c r="B4" s="16" t="n">
        <x:v>1</x:v>
      </x:c>
      <x:c r="C4" s="16" t="n">
        <x:v>10000</x:v>
      </x:c>
      <x:c r="D4" s="16" t="n">
        <x:v>450000</x:v>
      </x:c>
      <x:c r="E4" s="17" t="str">
        <x:v>confirmed</x:v>
      </x:c>
      <x:c r="F4" s="18" t="str">
        <x:v>最终策划案.md:177；4.4</x:v>
      </x:c>
      <x:c r="G4" s="18" t="str"/>
    </x:row>
    <x:row r="5" ht="15" hidden="0" customHeight="1">
      <x:c r="A5" s="19" t="n">
        <x:v>2</x:v>
      </x:c>
      <x:c r="B5" s="16" t="n">
        <x:v>2</x:v>
      </x:c>
      <x:c r="C5" s="16" t="n">
        <x:v>12000</x:v>
      </x:c>
      <x:c r="D5" s="16" t="n">
        <x:v>300000</x:v>
      </x:c>
      <x:c r="E5" s="17" t="str">
        <x:v>confirmed</x:v>
      </x:c>
      <x:c r="F5" s="18" t="str">
        <x:v>最终策划案.md:177；4.4</x:v>
      </x:c>
      <x:c r="G5" s="18" t="str"/>
    </x:row>
    <x:row r="6" ht="15" hidden="0" customHeight="1">
      <x:c r="A6" s="19" t="n">
        <x:v>3</x:v>
      </x:c>
      <x:c r="B6" s="16" t="n">
        <x:v>3</x:v>
      </x:c>
      <x:c r="C6" s="16" t="n">
        <x:v>15000</x:v>
      </x:c>
      <x:c r="D6" s="16" t="n">
        <x:v>150000</x:v>
      </x:c>
      <x:c r="E6" s="17" t="str">
        <x:v>confirmed</x:v>
      </x:c>
      <x:c r="F6" s="18" t="str">
        <x:v>最终策划案.md:177；4.4</x:v>
      </x:c>
      <x:c r="G6" s="18" t="str"/>
    </x:row>
    <x:row r="7" ht="15" hidden="0" customHeight="1">
      <x:c r="A7" s="19" t="n">
        <x:v>4</x:v>
      </x:c>
      <x:c r="B7" s="16" t="n">
        <x:v>4</x:v>
      </x:c>
      <x:c r="C7" s="16" t="n">
        <x:v>19000</x:v>
      </x:c>
      <x:c r="D7" s="16" t="n">
        <x:v>70000</x:v>
      </x:c>
      <x:c r="E7" s="17" t="str">
        <x:v>confirmed</x:v>
      </x:c>
      <x:c r="F7" s="18" t="str">
        <x:v>最终策划案.md:177；4.4</x:v>
      </x:c>
      <x:c r="G7" s="18" t="str"/>
    </x:row>
    <x:row r="8" ht="15" hidden="0" customHeight="1">
      <x:c r="A8" s="19" t="n">
        <x:v>5</x:v>
      </x:c>
      <x:c r="B8" s="16" t="n">
        <x:v>5</x:v>
      </x:c>
      <x:c r="C8" s="16" t="n">
        <x:v>24000</x:v>
      </x:c>
      <x:c r="D8" s="16" t="n">
        <x:v>30000</x:v>
      </x:c>
      <x:c r="E8" s="17" t="str">
        <x:v>confirmed</x:v>
      </x:c>
      <x:c r="F8" s="18" t="str">
        <x:v>最终策划案.md:177；4.4</x:v>
      </x:c>
      <x:c r="G8" s="18" t="str"/>
    </x:row>
    <x:row r="9" ht="15" hidden="0" customHeight="1">
      <x:c r="A9" s="19"/>
      <x:c r="B9" s="16"/>
      <x:c r="C9" s="16"/>
      <x:c r="D9" s="16"/>
      <x:c r="E9" s="17"/>
      <x:c r="F9" s="18"/>
      <x:c r="G9" s="18"/>
    </x:row>
  </x:sheetData>
  <x:conditionalFormatting sqref="A4:A1003">
    <x:cfRule type="expression" dxfId="128" priority="1">
      <x:formula>AND($A4&lt;&gt;"",ISBLANK(A4))</x:formula>
    </x:cfRule>
  </x:conditionalFormatting>
  <x:conditionalFormatting sqref="B4:B1003">
    <x:cfRule type="expression" dxfId="129" priority="2">
      <x:formula>AND($A4&lt;&gt;"",ISBLANK(B4))</x:formula>
    </x:cfRule>
  </x:conditionalFormatting>
  <x:conditionalFormatting sqref="C4:C1003">
    <x:cfRule type="expression" dxfId="130" priority="3">
      <x:formula>AND($A4&lt;&gt;"",ISBLANK(C4))</x:formula>
    </x:cfRule>
  </x:conditionalFormatting>
  <x:conditionalFormatting sqref="D4:D1003">
    <x:cfRule type="expression" dxfId="131" priority="4">
      <x:formula>AND($A4&lt;&gt;"",ISBLANK(D4))</x:formula>
    </x:cfRule>
  </x:conditionalFormatting>
  <x:conditionalFormatting sqref="E4:E1003">
    <x:cfRule type="containsText" dxfId="132" priority="5" operator="containsText" text="candidate"/>
    <x:cfRule type="containsText" dxfId="133" priority="6" operator="containsText" text="unverified"/>
    <x:cfRule type="containsText" dxfId="134" priority="7" operator="containsText" text="historical"/>
  </x:conditionalFormatting>
  <x:dataValidations count="1">
    <x:dataValidation type="list" sqref="E4:E1003">
      <x:formula1>"confirmed,candidate,unverified,historical"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7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锁定槽数</x:v>
      </x:c>
      <x:c r="C1" s="7" t="str">
        <x:v>每次附加元宝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locked_slots</x:v>
      </x:c>
      <x:c r="C2" s="12" t="str">
        <x:v>extra_ingot_u_per_attempt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0.1元宝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6" t="n">
        <x:v>0</x:v>
      </x:c>
      <x:c r="C4" s="16" t="n">
        <x:v>0</x:v>
      </x:c>
      <x:c r="D4" s="17" t="str">
        <x:v>confirmed</x:v>
      </x:c>
      <x:c r="E4" s="18" t="str">
        <x:v>最终策划案.md:179、674；4.4、5.6</x:v>
      </x:c>
      <x:c r="F4" s="18" t="str"/>
    </x:row>
    <x:row r="5" ht="15" hidden="0" customHeight="1">
      <x:c r="A5" s="19" t="n">
        <x:v>2</x:v>
      </x:c>
      <x:c r="B5" s="16" t="n">
        <x:v>1</x:v>
      </x:c>
      <x:c r="C5" s="16" t="n">
        <x:v>2000</x:v>
      </x:c>
      <x:c r="D5" s="17" t="str">
        <x:v>confirmed</x:v>
      </x:c>
      <x:c r="E5" s="18" t="str">
        <x:v>最终策划案.md:179、674；4.4、5.6</x:v>
      </x:c>
      <x:c r="F5" s="18" t="str"/>
    </x:row>
    <x:row r="6" ht="15" hidden="0" customHeight="1">
      <x:c r="A6" s="19" t="n">
        <x:v>3</x:v>
      </x:c>
      <x:c r="B6" s="16" t="n">
        <x:v>2</x:v>
      </x:c>
      <x:c r="C6" s="16" t="n">
        <x:v>5000</x:v>
      </x:c>
      <x:c r="D6" s="17" t="str">
        <x:v>confirmed</x:v>
      </x:c>
      <x:c r="E6" s="18" t="str">
        <x:v>最终策划案.md:179、674；4.4、5.6</x:v>
      </x:c>
      <x:c r="F6" s="18" t="str"/>
    </x:row>
    <x:row r="7" ht="15" hidden="0" customHeight="1">
      <x:c r="A7" s="19" t="n">
        <x:v>4</x:v>
      </x:c>
      <x:c r="B7" s="16" t="n">
        <x:v>3</x:v>
      </x:c>
      <x:c r="C7" s="16" t="n">
        <x:v>9000</x:v>
      </x:c>
      <x:c r="D7" s="17" t="str">
        <x:v>confirmed</x:v>
      </x:c>
      <x:c r="E7" s="18" t="str">
        <x:v>最终策划案.md:179、674；4.4、5.6</x:v>
      </x:c>
      <x:c r="F7" s="18" t="str"/>
    </x:row>
    <x:row r="8" ht="15" hidden="0" customHeight="1">
      <x:c r="A8" s="19"/>
      <x:c r="B8" s="16"/>
      <x:c r="C8" s="16"/>
      <x:c r="D8" s="17"/>
      <x:c r="E8" s="18"/>
      <x:c r="F8" s="18"/>
    </x:row>
    <x:row r="9" ht="15" hidden="0" customHeight="1">
      <x:c r="A9" s="19"/>
      <x:c r="B9" s="16"/>
      <x:c r="C9" s="16"/>
      <x:c r="D9" s="17"/>
      <x:c r="E9" s="18"/>
      <x:c r="F9" s="18"/>
    </x:row>
  </x:sheetData>
  <x:conditionalFormatting sqref="A4:A1003">
    <x:cfRule type="expression" dxfId="135" priority="1">
      <x:formula>AND($A4&lt;&gt;"",ISBLANK(A4))</x:formula>
    </x:cfRule>
  </x:conditionalFormatting>
  <x:conditionalFormatting sqref="B4:B1003">
    <x:cfRule type="expression" dxfId="136" priority="2">
      <x:formula>AND($A4&lt;&gt;"",ISBLANK(B4))</x:formula>
    </x:cfRule>
  </x:conditionalFormatting>
  <x:conditionalFormatting sqref="C4:C1003">
    <x:cfRule type="expression" dxfId="137" priority="3">
      <x:formula>AND($A4&lt;&gt;"",ISBLANK(C4))</x:formula>
    </x:cfRule>
  </x:conditionalFormatting>
  <x:conditionalFormatting sqref="D4:D1003">
    <x:cfRule type="containsText" dxfId="138" priority="4" operator="containsText" text="candidate"/>
    <x:cfRule type="containsText" dxfId="139" priority="5" operator="containsText" text="unverified"/>
    <x:cfRule type="containsText" dxfId="140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当前强化等级</x:v>
      </x:c>
      <x:c r="C1" s="7" t="str">
        <x:v>成功目标等级</x:v>
      </x:c>
      <x:c r="D1" s="7" t="str">
        <x:v>十级阶段</x:v>
      </x:c>
      <x:c r="E1" s="7" t="str">
        <x:v>单次成功率</x:v>
      </x:c>
      <x:c r="F1" s="7" t="str">
        <x:v>单次强化石</x:v>
      </x:c>
      <x:c r="G1" s="7" t="str">
        <x:v>本次成功增幅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from_level</x:v>
      </x:c>
      <x:c r="C2" s="12" t="str">
        <x:v>to_level</x:v>
      </x:c>
      <x:c r="D2" s="12" t="str">
        <x:v>stage</x:v>
      </x:c>
      <x:c r="E2" s="12" t="str">
        <x:v>success_ppm</x:v>
      </x:c>
      <x:c r="F2" s="12" t="str">
        <x:v>stone_cost</x:v>
      </x:c>
      <x:c r="G2" s="12" t="str">
        <x:v>base_attr_increment_bp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百万分率 / both</x:v>
      </x:c>
      <x:c r="F3" s="15" t="str">
        <x:v>int / 必填 / both</x:v>
      </x:c>
      <x:c r="G3" s="15" t="str">
        <x:v>int / 必填 / 万分率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 t="n">
        <x:v>1</x:v>
      </x:c>
      <x:c r="B4" s="16" t="n">
        <x:v>0</x:v>
      </x:c>
      <x:c r="C4" s="16" t="n">
        <x:v>1</x:v>
      </x:c>
      <x:c r="D4" s="16" t="n">
        <x:v>1</x:v>
      </x:c>
      <x:c r="E4" s="16" t="n">
        <x:v>1000000</x:v>
      </x:c>
      <x:c r="F4" s="16" t="n">
        <x:v>10</x:v>
      </x:c>
      <x:c r="G4" s="16" t="n">
        <x:v>10</x:v>
      </x:c>
      <x:c r="H4" s="17" t="str">
        <x:v>candidate</x:v>
      </x:c>
      <x:c r="I4" s="18" t="str">
        <x:v>最终策划案.md:616-626；5.3</x:v>
      </x:c>
      <x:c r="J4" s="18" t="str">
        <x:v>按5.3候选公式逐级展开；仅装备明确基础属性，51级以上另配。</x:v>
      </x:c>
    </x:row>
    <x:row r="5" ht="15" hidden="0" customHeight="1">
      <x:c r="A5" s="19" t="n">
        <x:v>2</x:v>
      </x:c>
      <x:c r="B5" s="16" t="n">
        <x:v>1</x:v>
      </x:c>
      <x:c r="C5" s="16" t="n">
        <x:v>2</x:v>
      </x:c>
      <x:c r="D5" s="16" t="n">
        <x:v>1</x:v>
      </x:c>
      <x:c r="E5" s="16" t="n">
        <x:v>900000</x:v>
      </x:c>
      <x:c r="F5" s="16" t="n">
        <x:v>10</x:v>
      </x:c>
      <x:c r="G5" s="16" t="n">
        <x:v>10</x:v>
      </x:c>
      <x:c r="H5" s="17" t="str">
        <x:v>candidate</x:v>
      </x:c>
      <x:c r="I5" s="18" t="str">
        <x:v>最终策划案.md:616-626；5.3</x:v>
      </x:c>
      <x:c r="J5" s="18" t="str">
        <x:v>按5.3候选公式逐级展开；仅装备明确基础属性，51级以上另配。</x:v>
      </x:c>
    </x:row>
    <x:row r="6" ht="15" hidden="0" customHeight="1">
      <x:c r="A6" s="19" t="n">
        <x:v>3</x:v>
      </x:c>
      <x:c r="B6" s="16" t="n">
        <x:v>2</x:v>
      </x:c>
      <x:c r="C6" s="16" t="n">
        <x:v>3</x:v>
      </x:c>
      <x:c r="D6" s="16" t="n">
        <x:v>1</x:v>
      </x:c>
      <x:c r="E6" s="16" t="n">
        <x:v>800000</x:v>
      </x:c>
      <x:c r="F6" s="16" t="n">
        <x:v>10</x:v>
      </x:c>
      <x:c r="G6" s="16" t="n">
        <x:v>10</x:v>
      </x:c>
      <x:c r="H6" s="17" t="str">
        <x:v>candidate</x:v>
      </x:c>
      <x:c r="I6" s="18" t="str">
        <x:v>最终策划案.md:616-626；5.3</x:v>
      </x:c>
      <x:c r="J6" s="18" t="str">
        <x:v>按5.3候选公式逐级展开；仅装备明确基础属性，51级以上另配。</x:v>
      </x:c>
    </x:row>
    <x:row r="7" ht="15" hidden="0" customHeight="1">
      <x:c r="A7" s="19" t="n">
        <x:v>4</x:v>
      </x:c>
      <x:c r="B7" s="16" t="n">
        <x:v>3</x:v>
      </x:c>
      <x:c r="C7" s="16" t="n">
        <x:v>4</x:v>
      </x:c>
      <x:c r="D7" s="16" t="n">
        <x:v>1</x:v>
      </x:c>
      <x:c r="E7" s="16" t="n">
        <x:v>700000</x:v>
      </x:c>
      <x:c r="F7" s="16" t="n">
        <x:v>10</x:v>
      </x:c>
      <x:c r="G7" s="16" t="n">
        <x:v>10</x:v>
      </x:c>
      <x:c r="H7" s="17" t="str">
        <x:v>candidate</x:v>
      </x:c>
      <x:c r="I7" s="18" t="str">
        <x:v>最终策划案.md:616-626；5.3</x:v>
      </x:c>
      <x:c r="J7" s="18" t="str">
        <x:v>按5.3候选公式逐级展开；仅装备明确基础属性，51级以上另配。</x:v>
      </x:c>
    </x:row>
    <x:row r="8" ht="15" hidden="0" customHeight="1">
      <x:c r="A8" s="19" t="n">
        <x:v>5</x:v>
      </x:c>
      <x:c r="B8" s="16" t="n">
        <x:v>4</x:v>
      </x:c>
      <x:c r="C8" s="16" t="n">
        <x:v>5</x:v>
      </x:c>
      <x:c r="D8" s="16" t="n">
        <x:v>1</x:v>
      </x:c>
      <x:c r="E8" s="16" t="n">
        <x:v>600000</x:v>
      </x:c>
      <x:c r="F8" s="16" t="n">
        <x:v>10</x:v>
      </x:c>
      <x:c r="G8" s="16" t="n">
        <x:v>10</x:v>
      </x:c>
      <x:c r="H8" s="17" t="str">
        <x:v>candidate</x:v>
      </x:c>
      <x:c r="I8" s="18" t="str">
        <x:v>最终策划案.md:616-626；5.3</x:v>
      </x:c>
      <x:c r="J8" s="18" t="str">
        <x:v>按5.3候选公式逐级展开；仅装备明确基础属性，51级以上另配。</x:v>
      </x:c>
    </x:row>
    <x:row r="9" ht="15" hidden="0" customHeight="1">
      <x:c r="A9" s="19" t="n">
        <x:v>6</x:v>
      </x:c>
      <x:c r="B9" s="16" t="n">
        <x:v>5</x:v>
      </x:c>
      <x:c r="C9" s="16" t="n">
        <x:v>6</x:v>
      </x:c>
      <x:c r="D9" s="16" t="n">
        <x:v>1</x:v>
      </x:c>
      <x:c r="E9" s="16" t="n">
        <x:v>500000</x:v>
      </x:c>
      <x:c r="F9" s="16" t="n">
        <x:v>10</x:v>
      </x:c>
      <x:c r="G9" s="16" t="n">
        <x:v>10</x:v>
      </x:c>
      <x:c r="H9" s="17" t="str">
        <x:v>candidate</x:v>
      </x:c>
      <x:c r="I9" s="18" t="str">
        <x:v>最终策划案.md:616-626；5.3</x:v>
      </x:c>
      <x:c r="J9" s="18" t="str">
        <x:v>按5.3候选公式逐级展开；仅装备明确基础属性，51级以上另配。</x:v>
      </x:c>
    </x:row>
    <x:row r="10" ht="15" hidden="0" customHeight="1">
      <x:c r="A10" s="19" t="n">
        <x:v>7</x:v>
      </x:c>
      <x:c r="B10" s="16" t="n">
        <x:v>6</x:v>
      </x:c>
      <x:c r="C10" s="16" t="n">
        <x:v>7</x:v>
      </x:c>
      <x:c r="D10" s="16" t="n">
        <x:v>1</x:v>
      </x:c>
      <x:c r="E10" s="16" t="n">
        <x:v>400000</x:v>
      </x:c>
      <x:c r="F10" s="16" t="n">
        <x:v>10</x:v>
      </x:c>
      <x:c r="G10" s="16" t="n">
        <x:v>10</x:v>
      </x:c>
      <x:c r="H10" s="17" t="str">
        <x:v>candidate</x:v>
      </x:c>
      <x:c r="I10" s="18" t="str">
        <x:v>最终策划案.md:616-626；5.3</x:v>
      </x:c>
      <x:c r="J10" s="18" t="str">
        <x:v>按5.3候选公式逐级展开；仅装备明确基础属性，51级以上另配。</x:v>
      </x:c>
    </x:row>
    <x:row r="11" ht="15" hidden="0" customHeight="1">
      <x:c r="A11" s="19" t="n">
        <x:v>8</x:v>
      </x:c>
      <x:c r="B11" s="16" t="n">
        <x:v>7</x:v>
      </x:c>
      <x:c r="C11" s="16" t="n">
        <x:v>8</x:v>
      </x:c>
      <x:c r="D11" s="16" t="n">
        <x:v>1</x:v>
      </x:c>
      <x:c r="E11" s="16" t="n">
        <x:v>300000</x:v>
      </x:c>
      <x:c r="F11" s="16" t="n">
        <x:v>10</x:v>
      </x:c>
      <x:c r="G11" s="16" t="n">
        <x:v>10</x:v>
      </x:c>
      <x:c r="H11" s="17" t="str">
        <x:v>candidate</x:v>
      </x:c>
      <x:c r="I11" s="18" t="str">
        <x:v>最终策划案.md:616-626；5.3</x:v>
      </x:c>
      <x:c r="J11" s="18" t="str">
        <x:v>按5.3候选公式逐级展开；仅装备明确基础属性，51级以上另配。</x:v>
      </x:c>
    </x:row>
    <x:row r="12" ht="15" hidden="0" customHeight="1">
      <x:c r="A12" s="19" t="n">
        <x:v>9</x:v>
      </x:c>
      <x:c r="B12" s="16" t="n">
        <x:v>8</x:v>
      </x:c>
      <x:c r="C12" s="16" t="n">
        <x:v>9</x:v>
      </x:c>
      <x:c r="D12" s="16" t="n">
        <x:v>1</x:v>
      </x:c>
      <x:c r="E12" s="16" t="n">
        <x:v>200000</x:v>
      </x:c>
      <x:c r="F12" s="16" t="n">
        <x:v>10</x:v>
      </x:c>
      <x:c r="G12" s="16" t="n">
        <x:v>10</x:v>
      </x:c>
      <x:c r="H12" s="17" t="str">
        <x:v>candidate</x:v>
      </x:c>
      <x:c r="I12" s="18" t="str">
        <x:v>最终策划案.md:616-626；5.3</x:v>
      </x:c>
      <x:c r="J12" s="18" t="str">
        <x:v>按5.3候选公式逐级展开；仅装备明确基础属性，51级以上另配。</x:v>
      </x:c>
    </x:row>
    <x:row r="13" ht="15" hidden="0" customHeight="1">
      <x:c r="A13" s="19" t="n">
        <x:v>10</x:v>
      </x:c>
      <x:c r="B13" s="16" t="n">
        <x:v>9</x:v>
      </x:c>
      <x:c r="C13" s="16" t="n">
        <x:v>10</x:v>
      </x:c>
      <x:c r="D13" s="16" t="n">
        <x:v>1</x:v>
      </x:c>
      <x:c r="E13" s="16" t="n">
        <x:v>100000</x:v>
      </x:c>
      <x:c r="F13" s="16" t="n">
        <x:v>10</x:v>
      </x:c>
      <x:c r="G13" s="16" t="n">
        <x:v>10</x:v>
      </x:c>
      <x:c r="H13" s="17" t="str">
        <x:v>candidate</x:v>
      </x:c>
      <x:c r="I13" s="18" t="str">
        <x:v>最终策划案.md:616-626；5.3</x:v>
      </x:c>
      <x:c r="J13" s="18" t="str">
        <x:v>按5.3候选公式逐级展开；仅装备明确基础属性，51级以上另配。</x:v>
      </x:c>
    </x:row>
    <x:row r="14" ht="15" hidden="0" customHeight="1">
      <x:c r="A14" s="19" t="n">
        <x:v>11</x:v>
      </x:c>
      <x:c r="B14" s="16" t="n">
        <x:v>10</x:v>
      </x:c>
      <x:c r="C14" s="16" t="n">
        <x:v>11</x:v>
      </x:c>
      <x:c r="D14" s="16" t="n">
        <x:v>2</x:v>
      </x:c>
      <x:c r="E14" s="16" t="n">
        <x:v>1000000</x:v>
      </x:c>
      <x:c r="F14" s="16" t="n">
        <x:v>20</x:v>
      </x:c>
      <x:c r="G14" s="16" t="n">
        <x:v>20</x:v>
      </x:c>
      <x:c r="H14" s="17" t="str">
        <x:v>candidate</x:v>
      </x:c>
      <x:c r="I14" s="18" t="str">
        <x:v>最终策划案.md:616-626；5.3</x:v>
      </x:c>
      <x:c r="J14" s="18" t="str">
        <x:v>按5.3候选公式逐级展开；仅装备明确基础属性，51级以上另配。</x:v>
      </x:c>
    </x:row>
    <x:row r="15" ht="15" hidden="0" customHeight="1">
      <x:c r="A15" s="19" t="n">
        <x:v>12</x:v>
      </x:c>
      <x:c r="B15" s="16" t="n">
        <x:v>11</x:v>
      </x:c>
      <x:c r="C15" s="16" t="n">
        <x:v>12</x:v>
      </x:c>
      <x:c r="D15" s="16" t="n">
        <x:v>2</x:v>
      </x:c>
      <x:c r="E15" s="16" t="n">
        <x:v>900000</x:v>
      </x:c>
      <x:c r="F15" s="16" t="n">
        <x:v>20</x:v>
      </x:c>
      <x:c r="G15" s="16" t="n">
        <x:v>20</x:v>
      </x:c>
      <x:c r="H15" s="17" t="str">
        <x:v>candidate</x:v>
      </x:c>
      <x:c r="I15" s="18" t="str">
        <x:v>最终策划案.md:616-626；5.3</x:v>
      </x:c>
      <x:c r="J15" s="18" t="str">
        <x:v>按5.3候选公式逐级展开；仅装备明确基础属性，51级以上另配。</x:v>
      </x:c>
    </x:row>
    <x:row r="16" ht="15" hidden="0" customHeight="1">
      <x:c r="A16" s="19" t="n">
        <x:v>13</x:v>
      </x:c>
      <x:c r="B16" s="16" t="n">
        <x:v>12</x:v>
      </x:c>
      <x:c r="C16" s="16" t="n">
        <x:v>13</x:v>
      </x:c>
      <x:c r="D16" s="16" t="n">
        <x:v>2</x:v>
      </x:c>
      <x:c r="E16" s="16" t="n">
        <x:v>800000</x:v>
      </x:c>
      <x:c r="F16" s="16" t="n">
        <x:v>20</x:v>
      </x:c>
      <x:c r="G16" s="16" t="n">
        <x:v>20</x:v>
      </x:c>
      <x:c r="H16" s="17" t="str">
        <x:v>candidate</x:v>
      </x:c>
      <x:c r="I16" s="18" t="str">
        <x:v>最终策划案.md:616-626；5.3</x:v>
      </x:c>
      <x:c r="J16" s="18" t="str">
        <x:v>按5.3候选公式逐级展开；仅装备明确基础属性，51级以上另配。</x:v>
      </x:c>
    </x:row>
    <x:row r="17" ht="15" hidden="0" customHeight="1">
      <x:c r="A17" s="19" t="n">
        <x:v>14</x:v>
      </x:c>
      <x:c r="B17" s="16" t="n">
        <x:v>13</x:v>
      </x:c>
      <x:c r="C17" s="16" t="n">
        <x:v>14</x:v>
      </x:c>
      <x:c r="D17" s="16" t="n">
        <x:v>2</x:v>
      </x:c>
      <x:c r="E17" s="16" t="n">
        <x:v>700000</x:v>
      </x:c>
      <x:c r="F17" s="16" t="n">
        <x:v>20</x:v>
      </x:c>
      <x:c r="G17" s="16" t="n">
        <x:v>20</x:v>
      </x:c>
      <x:c r="H17" s="17" t="str">
        <x:v>candidate</x:v>
      </x:c>
      <x:c r="I17" s="18" t="str">
        <x:v>最终策划案.md:616-626；5.3</x:v>
      </x:c>
      <x:c r="J17" s="18" t="str">
        <x:v>按5.3候选公式逐级展开；仅装备明确基础属性，51级以上另配。</x:v>
      </x:c>
    </x:row>
    <x:row r="18" ht="15" hidden="0" customHeight="1">
      <x:c r="A18" s="19" t="n">
        <x:v>15</x:v>
      </x:c>
      <x:c r="B18" s="16" t="n">
        <x:v>14</x:v>
      </x:c>
      <x:c r="C18" s="16" t="n">
        <x:v>15</x:v>
      </x:c>
      <x:c r="D18" s="16" t="n">
        <x:v>2</x:v>
      </x:c>
      <x:c r="E18" s="16" t="n">
        <x:v>600000</x:v>
      </x:c>
      <x:c r="F18" s="16" t="n">
        <x:v>20</x:v>
      </x:c>
      <x:c r="G18" s="16" t="n">
        <x:v>20</x:v>
      </x:c>
      <x:c r="H18" s="17" t="str">
        <x:v>candidate</x:v>
      </x:c>
      <x:c r="I18" s="18" t="str">
        <x:v>最终策划案.md:616-626；5.3</x:v>
      </x:c>
      <x:c r="J18" s="18" t="str">
        <x:v>按5.3候选公式逐级展开；仅装备明确基础属性，51级以上另配。</x:v>
      </x:c>
    </x:row>
    <x:row r="19" ht="15" hidden="0" customHeight="1">
      <x:c r="A19" s="19" t="n">
        <x:v>16</x:v>
      </x:c>
      <x:c r="B19" s="16" t="n">
        <x:v>15</x:v>
      </x:c>
      <x:c r="C19" s="16" t="n">
        <x:v>16</x:v>
      </x:c>
      <x:c r="D19" s="16" t="n">
        <x:v>2</x:v>
      </x:c>
      <x:c r="E19" s="16" t="n">
        <x:v>500000</x:v>
      </x:c>
      <x:c r="F19" s="16" t="n">
        <x:v>20</x:v>
      </x:c>
      <x:c r="G19" s="16" t="n">
        <x:v>20</x:v>
      </x:c>
      <x:c r="H19" s="17" t="str">
        <x:v>candidate</x:v>
      </x:c>
      <x:c r="I19" s="18" t="str">
        <x:v>最终策划案.md:616-626；5.3</x:v>
      </x:c>
      <x:c r="J19" s="18" t="str">
        <x:v>按5.3候选公式逐级展开；仅装备明确基础属性，51级以上另配。</x:v>
      </x:c>
    </x:row>
    <x:row r="20" ht="15" hidden="0" customHeight="1">
      <x:c r="A20" s="19" t="n">
        <x:v>17</x:v>
      </x:c>
      <x:c r="B20" s="16" t="n">
        <x:v>16</x:v>
      </x:c>
      <x:c r="C20" s="16" t="n">
        <x:v>17</x:v>
      </x:c>
      <x:c r="D20" s="16" t="n">
        <x:v>2</x:v>
      </x:c>
      <x:c r="E20" s="16" t="n">
        <x:v>400000</x:v>
      </x:c>
      <x:c r="F20" s="16" t="n">
        <x:v>20</x:v>
      </x:c>
      <x:c r="G20" s="16" t="n">
        <x:v>20</x:v>
      </x:c>
      <x:c r="H20" s="17" t="str">
        <x:v>candidate</x:v>
      </x:c>
      <x:c r="I20" s="18" t="str">
        <x:v>最终策划案.md:616-626；5.3</x:v>
      </x:c>
      <x:c r="J20" s="18" t="str">
        <x:v>按5.3候选公式逐级展开；仅装备明确基础属性，51级以上另配。</x:v>
      </x:c>
    </x:row>
    <x:row r="21" ht="15" hidden="0" customHeight="1">
      <x:c r="A21" s="19" t="n">
        <x:v>18</x:v>
      </x:c>
      <x:c r="B21" s="16" t="n">
        <x:v>17</x:v>
      </x:c>
      <x:c r="C21" s="16" t="n">
        <x:v>18</x:v>
      </x:c>
      <x:c r="D21" s="16" t="n">
        <x:v>2</x:v>
      </x:c>
      <x:c r="E21" s="16" t="n">
        <x:v>300000</x:v>
      </x:c>
      <x:c r="F21" s="16" t="n">
        <x:v>20</x:v>
      </x:c>
      <x:c r="G21" s="16" t="n">
        <x:v>20</x:v>
      </x:c>
      <x:c r="H21" s="17" t="str">
        <x:v>candidate</x:v>
      </x:c>
      <x:c r="I21" s="18" t="str">
        <x:v>最终策划案.md:616-626；5.3</x:v>
      </x:c>
      <x:c r="J21" s="18" t="str">
        <x:v>按5.3候选公式逐级展开；仅装备明确基础属性，51级以上另配。</x:v>
      </x:c>
    </x:row>
    <x:row r="22" ht="15" hidden="0" customHeight="1">
      <x:c r="A22" s="19" t="n">
        <x:v>19</x:v>
      </x:c>
      <x:c r="B22" s="16" t="n">
        <x:v>18</x:v>
      </x:c>
      <x:c r="C22" s="16" t="n">
        <x:v>19</x:v>
      </x:c>
      <x:c r="D22" s="16" t="n">
        <x:v>2</x:v>
      </x:c>
      <x:c r="E22" s="16" t="n">
        <x:v>200000</x:v>
      </x:c>
      <x:c r="F22" s="16" t="n">
        <x:v>20</x:v>
      </x:c>
      <x:c r="G22" s="16" t="n">
        <x:v>20</x:v>
      </x:c>
      <x:c r="H22" s="17" t="str">
        <x:v>candidate</x:v>
      </x:c>
      <x:c r="I22" s="18" t="str">
        <x:v>最终策划案.md:616-626；5.3</x:v>
      </x:c>
      <x:c r="J22" s="18" t="str">
        <x:v>按5.3候选公式逐级展开；仅装备明确基础属性，51级以上另配。</x:v>
      </x:c>
    </x:row>
    <x:row r="23" ht="15" hidden="0" customHeight="1">
      <x:c r="A23" s="19" t="n">
        <x:v>20</x:v>
      </x:c>
      <x:c r="B23" s="16" t="n">
        <x:v>19</x:v>
      </x:c>
      <x:c r="C23" s="16" t="n">
        <x:v>20</x:v>
      </x:c>
      <x:c r="D23" s="16" t="n">
        <x:v>2</x:v>
      </x:c>
      <x:c r="E23" s="16" t="n">
        <x:v>100000</x:v>
      </x:c>
      <x:c r="F23" s="16" t="n">
        <x:v>20</x:v>
      </x:c>
      <x:c r="G23" s="16" t="n">
        <x:v>20</x:v>
      </x:c>
      <x:c r="H23" s="17" t="str">
        <x:v>candidate</x:v>
      </x:c>
      <x:c r="I23" s="18" t="str">
        <x:v>最终策划案.md:616-626；5.3</x:v>
      </x:c>
      <x:c r="J23" s="18" t="str">
        <x:v>按5.3候选公式逐级展开；仅装备明确基础属性，51级以上另配。</x:v>
      </x:c>
    </x:row>
    <x:row r="24" ht="15" hidden="0" customHeight="1">
      <x:c r="A24" s="19" t="n">
        <x:v>21</x:v>
      </x:c>
      <x:c r="B24" s="16" t="n">
        <x:v>20</x:v>
      </x:c>
      <x:c r="C24" s="16" t="n">
        <x:v>21</x:v>
      </x:c>
      <x:c r="D24" s="16" t="n">
        <x:v>3</x:v>
      </x:c>
      <x:c r="E24" s="16" t="n">
        <x:v>1000000</x:v>
      </x:c>
      <x:c r="F24" s="16" t="n">
        <x:v>30</x:v>
      </x:c>
      <x:c r="G24" s="16" t="n">
        <x:v>30</x:v>
      </x:c>
      <x:c r="H24" s="17" t="str">
        <x:v>candidate</x:v>
      </x:c>
      <x:c r="I24" s="18" t="str">
        <x:v>最终策划案.md:616-626；5.3</x:v>
      </x:c>
      <x:c r="J24" s="18" t="str">
        <x:v>按5.3候选公式逐级展开；仅装备明确基础属性，51级以上另配。</x:v>
      </x:c>
    </x:row>
    <x:row r="25" ht="15" hidden="0" customHeight="1">
      <x:c r="A25" s="19" t="n">
        <x:v>22</x:v>
      </x:c>
      <x:c r="B25" s="16" t="n">
        <x:v>21</x:v>
      </x:c>
      <x:c r="C25" s="16" t="n">
        <x:v>22</x:v>
      </x:c>
      <x:c r="D25" s="16" t="n">
        <x:v>3</x:v>
      </x:c>
      <x:c r="E25" s="16" t="n">
        <x:v>900000</x:v>
      </x:c>
      <x:c r="F25" s="16" t="n">
        <x:v>30</x:v>
      </x:c>
      <x:c r="G25" s="16" t="n">
        <x:v>30</x:v>
      </x:c>
      <x:c r="H25" s="17" t="str">
        <x:v>candidate</x:v>
      </x:c>
      <x:c r="I25" s="18" t="str">
        <x:v>最终策划案.md:616-626；5.3</x:v>
      </x:c>
      <x:c r="J25" s="18" t="str">
        <x:v>按5.3候选公式逐级展开；仅装备明确基础属性，51级以上另配。</x:v>
      </x:c>
    </x:row>
    <x:row r="26" ht="15" hidden="0" customHeight="1">
      <x:c r="A26" s="19" t="n">
        <x:v>23</x:v>
      </x:c>
      <x:c r="B26" s="16" t="n">
        <x:v>22</x:v>
      </x:c>
      <x:c r="C26" s="16" t="n">
        <x:v>23</x:v>
      </x:c>
      <x:c r="D26" s="16" t="n">
        <x:v>3</x:v>
      </x:c>
      <x:c r="E26" s="16" t="n">
        <x:v>800000</x:v>
      </x:c>
      <x:c r="F26" s="16" t="n">
        <x:v>30</x:v>
      </x:c>
      <x:c r="G26" s="16" t="n">
        <x:v>30</x:v>
      </x:c>
      <x:c r="H26" s="17" t="str">
        <x:v>candidate</x:v>
      </x:c>
      <x:c r="I26" s="18" t="str">
        <x:v>最终策划案.md:616-626；5.3</x:v>
      </x:c>
      <x:c r="J26" s="18" t="str">
        <x:v>按5.3候选公式逐级展开；仅装备明确基础属性，51级以上另配。</x:v>
      </x:c>
    </x:row>
    <x:row r="27" ht="15" hidden="0" customHeight="1">
      <x:c r="A27" s="19" t="n">
        <x:v>24</x:v>
      </x:c>
      <x:c r="B27" s="16" t="n">
        <x:v>23</x:v>
      </x:c>
      <x:c r="C27" s="16" t="n">
        <x:v>24</x:v>
      </x:c>
      <x:c r="D27" s="16" t="n">
        <x:v>3</x:v>
      </x:c>
      <x:c r="E27" s="16" t="n">
        <x:v>700000</x:v>
      </x:c>
      <x:c r="F27" s="16" t="n">
        <x:v>30</x:v>
      </x:c>
      <x:c r="G27" s="16" t="n">
        <x:v>30</x:v>
      </x:c>
      <x:c r="H27" s="17" t="str">
        <x:v>candidate</x:v>
      </x:c>
      <x:c r="I27" s="18" t="str">
        <x:v>最终策划案.md:616-626；5.3</x:v>
      </x:c>
      <x:c r="J27" s="18" t="str">
        <x:v>按5.3候选公式逐级展开；仅装备明确基础属性，51级以上另配。</x:v>
      </x:c>
    </x:row>
    <x:row r="28" ht="15" hidden="0" customHeight="1">
      <x:c r="A28" s="19" t="n">
        <x:v>25</x:v>
      </x:c>
      <x:c r="B28" s="16" t="n">
        <x:v>24</x:v>
      </x:c>
      <x:c r="C28" s="16" t="n">
        <x:v>25</x:v>
      </x:c>
      <x:c r="D28" s="16" t="n">
        <x:v>3</x:v>
      </x:c>
      <x:c r="E28" s="16" t="n">
        <x:v>600000</x:v>
      </x:c>
      <x:c r="F28" s="16" t="n">
        <x:v>30</x:v>
      </x:c>
      <x:c r="G28" s="16" t="n">
        <x:v>30</x:v>
      </x:c>
      <x:c r="H28" s="17" t="str">
        <x:v>candidate</x:v>
      </x:c>
      <x:c r="I28" s="18" t="str">
        <x:v>最终策划案.md:616-626；5.3</x:v>
      </x:c>
      <x:c r="J28" s="18" t="str">
        <x:v>按5.3候选公式逐级展开；仅装备明确基础属性，51级以上另配。</x:v>
      </x:c>
    </x:row>
    <x:row r="29" ht="15" hidden="0" customHeight="1">
      <x:c r="A29" s="19" t="n">
        <x:v>26</x:v>
      </x:c>
      <x:c r="B29" s="16" t="n">
        <x:v>25</x:v>
      </x:c>
      <x:c r="C29" s="16" t="n">
        <x:v>26</x:v>
      </x:c>
      <x:c r="D29" s="16" t="n">
        <x:v>3</x:v>
      </x:c>
      <x:c r="E29" s="16" t="n">
        <x:v>500000</x:v>
      </x:c>
      <x:c r="F29" s="16" t="n">
        <x:v>30</x:v>
      </x:c>
      <x:c r="G29" s="16" t="n">
        <x:v>30</x:v>
      </x:c>
      <x:c r="H29" s="17" t="str">
        <x:v>candidate</x:v>
      </x:c>
      <x:c r="I29" s="18" t="str">
        <x:v>最终策划案.md:616-626；5.3</x:v>
      </x:c>
      <x:c r="J29" s="18" t="str">
        <x:v>按5.3候选公式逐级展开；仅装备明确基础属性，51级以上另配。</x:v>
      </x:c>
    </x:row>
    <x:row r="30" ht="15" hidden="0" customHeight="1">
      <x:c r="A30" s="19" t="n">
        <x:v>27</x:v>
      </x:c>
      <x:c r="B30" s="16" t="n">
        <x:v>26</x:v>
      </x:c>
      <x:c r="C30" s="16" t="n">
        <x:v>27</x:v>
      </x:c>
      <x:c r="D30" s="16" t="n">
        <x:v>3</x:v>
      </x:c>
      <x:c r="E30" s="16" t="n">
        <x:v>400000</x:v>
      </x:c>
      <x:c r="F30" s="16" t="n">
        <x:v>30</x:v>
      </x:c>
      <x:c r="G30" s="16" t="n">
        <x:v>30</x:v>
      </x:c>
      <x:c r="H30" s="17" t="str">
        <x:v>candidate</x:v>
      </x:c>
      <x:c r="I30" s="18" t="str">
        <x:v>最终策划案.md:616-626；5.3</x:v>
      </x:c>
      <x:c r="J30" s="18" t="str">
        <x:v>按5.3候选公式逐级展开；仅装备明确基础属性，51级以上另配。</x:v>
      </x:c>
    </x:row>
    <x:row r="31" ht="15" hidden="0" customHeight="1">
      <x:c r="A31" s="19" t="n">
        <x:v>28</x:v>
      </x:c>
      <x:c r="B31" s="16" t="n">
        <x:v>27</x:v>
      </x:c>
      <x:c r="C31" s="16" t="n">
        <x:v>28</x:v>
      </x:c>
      <x:c r="D31" s="16" t="n">
        <x:v>3</x:v>
      </x:c>
      <x:c r="E31" s="16" t="n">
        <x:v>300000</x:v>
      </x:c>
      <x:c r="F31" s="16" t="n">
        <x:v>30</x:v>
      </x:c>
      <x:c r="G31" s="16" t="n">
        <x:v>30</x:v>
      </x:c>
      <x:c r="H31" s="17" t="str">
        <x:v>candidate</x:v>
      </x:c>
      <x:c r="I31" s="18" t="str">
        <x:v>最终策划案.md:616-626；5.3</x:v>
      </x:c>
      <x:c r="J31" s="18" t="str">
        <x:v>按5.3候选公式逐级展开；仅装备明确基础属性，51级以上另配。</x:v>
      </x:c>
    </x:row>
    <x:row r="32" ht="15" hidden="0" customHeight="1">
      <x:c r="A32" s="19" t="n">
        <x:v>29</x:v>
      </x:c>
      <x:c r="B32" s="16" t="n">
        <x:v>28</x:v>
      </x:c>
      <x:c r="C32" s="16" t="n">
        <x:v>29</x:v>
      </x:c>
      <x:c r="D32" s="16" t="n">
        <x:v>3</x:v>
      </x:c>
      <x:c r="E32" s="16" t="n">
        <x:v>200000</x:v>
      </x:c>
      <x:c r="F32" s="16" t="n">
        <x:v>30</x:v>
      </x:c>
      <x:c r="G32" s="16" t="n">
        <x:v>30</x:v>
      </x:c>
      <x:c r="H32" s="17" t="str">
        <x:v>candidate</x:v>
      </x:c>
      <x:c r="I32" s="18" t="str">
        <x:v>最终策划案.md:616-626；5.3</x:v>
      </x:c>
      <x:c r="J32" s="18" t="str">
        <x:v>按5.3候选公式逐级展开；仅装备明确基础属性，51级以上另配。</x:v>
      </x:c>
    </x:row>
    <x:row r="33" ht="15" hidden="0" customHeight="1">
      <x:c r="A33" s="19" t="n">
        <x:v>30</x:v>
      </x:c>
      <x:c r="B33" s="16" t="n">
        <x:v>29</x:v>
      </x:c>
      <x:c r="C33" s="16" t="n">
        <x:v>30</x:v>
      </x:c>
      <x:c r="D33" s="16" t="n">
        <x:v>3</x:v>
      </x:c>
      <x:c r="E33" s="16" t="n">
        <x:v>100000</x:v>
      </x:c>
      <x:c r="F33" s="16" t="n">
        <x:v>30</x:v>
      </x:c>
      <x:c r="G33" s="16" t="n">
        <x:v>30</x:v>
      </x:c>
      <x:c r="H33" s="17" t="str">
        <x:v>candidate</x:v>
      </x:c>
      <x:c r="I33" s="18" t="str">
        <x:v>最终策划案.md:616-626；5.3</x:v>
      </x:c>
      <x:c r="J33" s="18" t="str">
        <x:v>按5.3候选公式逐级展开；仅装备明确基础属性，51级以上另配。</x:v>
      </x:c>
    </x:row>
    <x:row r="34" ht="15" hidden="0" customHeight="1">
      <x:c r="A34" s="19" t="n">
        <x:v>31</x:v>
      </x:c>
      <x:c r="B34" s="16" t="n">
        <x:v>30</x:v>
      </x:c>
      <x:c r="C34" s="16" t="n">
        <x:v>31</x:v>
      </x:c>
      <x:c r="D34" s="16" t="n">
        <x:v>4</x:v>
      </x:c>
      <x:c r="E34" s="16" t="n">
        <x:v>1000000</x:v>
      </x:c>
      <x:c r="F34" s="16" t="n">
        <x:v>40</x:v>
      </x:c>
      <x:c r="G34" s="16" t="n">
        <x:v>40</x:v>
      </x:c>
      <x:c r="H34" s="17" t="str">
        <x:v>candidate</x:v>
      </x:c>
      <x:c r="I34" s="18" t="str">
        <x:v>最终策划案.md:616-626；5.3</x:v>
      </x:c>
      <x:c r="J34" s="18" t="str">
        <x:v>按5.3候选公式逐级展开；仅装备明确基础属性，51级以上另配。</x:v>
      </x:c>
    </x:row>
    <x:row r="35" ht="15" hidden="0" customHeight="1">
      <x:c r="A35" s="19" t="n">
        <x:v>32</x:v>
      </x:c>
      <x:c r="B35" s="16" t="n">
        <x:v>31</x:v>
      </x:c>
      <x:c r="C35" s="16" t="n">
        <x:v>32</x:v>
      </x:c>
      <x:c r="D35" s="16" t="n">
        <x:v>4</x:v>
      </x:c>
      <x:c r="E35" s="16" t="n">
        <x:v>900000</x:v>
      </x:c>
      <x:c r="F35" s="16" t="n">
        <x:v>40</x:v>
      </x:c>
      <x:c r="G35" s="16" t="n">
        <x:v>40</x:v>
      </x:c>
      <x:c r="H35" s="17" t="str">
        <x:v>candidate</x:v>
      </x:c>
      <x:c r="I35" s="18" t="str">
        <x:v>最终策划案.md:616-626；5.3</x:v>
      </x:c>
      <x:c r="J35" s="18" t="str">
        <x:v>按5.3候选公式逐级展开；仅装备明确基础属性，51级以上另配。</x:v>
      </x:c>
    </x:row>
    <x:row r="36" ht="15" hidden="0" customHeight="1">
      <x:c r="A36" s="19" t="n">
        <x:v>33</x:v>
      </x:c>
      <x:c r="B36" s="16" t="n">
        <x:v>32</x:v>
      </x:c>
      <x:c r="C36" s="16" t="n">
        <x:v>33</x:v>
      </x:c>
      <x:c r="D36" s="16" t="n">
        <x:v>4</x:v>
      </x:c>
      <x:c r="E36" s="16" t="n">
        <x:v>800000</x:v>
      </x:c>
      <x:c r="F36" s="16" t="n">
        <x:v>40</x:v>
      </x:c>
      <x:c r="G36" s="16" t="n">
        <x:v>40</x:v>
      </x:c>
      <x:c r="H36" s="17" t="str">
        <x:v>candidate</x:v>
      </x:c>
      <x:c r="I36" s="18" t="str">
        <x:v>最终策划案.md:616-626；5.3</x:v>
      </x:c>
      <x:c r="J36" s="18" t="str">
        <x:v>按5.3候选公式逐级展开；仅装备明确基础属性，51级以上另配。</x:v>
      </x:c>
    </x:row>
    <x:row r="37" ht="15" hidden="0" customHeight="1">
      <x:c r="A37" s="19" t="n">
        <x:v>34</x:v>
      </x:c>
      <x:c r="B37" s="16" t="n">
        <x:v>33</x:v>
      </x:c>
      <x:c r="C37" s="16" t="n">
        <x:v>34</x:v>
      </x:c>
      <x:c r="D37" s="16" t="n">
        <x:v>4</x:v>
      </x:c>
      <x:c r="E37" s="16" t="n">
        <x:v>700000</x:v>
      </x:c>
      <x:c r="F37" s="16" t="n">
        <x:v>40</x:v>
      </x:c>
      <x:c r="G37" s="16" t="n">
        <x:v>40</x:v>
      </x:c>
      <x:c r="H37" s="17" t="str">
        <x:v>candidate</x:v>
      </x:c>
      <x:c r="I37" s="18" t="str">
        <x:v>最终策划案.md:616-626；5.3</x:v>
      </x:c>
      <x:c r="J37" s="18" t="str">
        <x:v>按5.3候选公式逐级展开；仅装备明确基础属性，51级以上另配。</x:v>
      </x:c>
    </x:row>
    <x:row r="38" ht="15" hidden="0" customHeight="1">
      <x:c r="A38" s="19" t="n">
        <x:v>35</x:v>
      </x:c>
      <x:c r="B38" s="16" t="n">
        <x:v>34</x:v>
      </x:c>
      <x:c r="C38" s="16" t="n">
        <x:v>35</x:v>
      </x:c>
      <x:c r="D38" s="16" t="n">
        <x:v>4</x:v>
      </x:c>
      <x:c r="E38" s="16" t="n">
        <x:v>600000</x:v>
      </x:c>
      <x:c r="F38" s="16" t="n">
        <x:v>40</x:v>
      </x:c>
      <x:c r="G38" s="16" t="n">
        <x:v>40</x:v>
      </x:c>
      <x:c r="H38" s="17" t="str">
        <x:v>candidate</x:v>
      </x:c>
      <x:c r="I38" s="18" t="str">
        <x:v>最终策划案.md:616-626；5.3</x:v>
      </x:c>
      <x:c r="J38" s="18" t="str">
        <x:v>按5.3候选公式逐级展开；仅装备明确基础属性，51级以上另配。</x:v>
      </x:c>
    </x:row>
    <x:row r="39" ht="15" hidden="0" customHeight="1">
      <x:c r="A39" s="19" t="n">
        <x:v>36</x:v>
      </x:c>
      <x:c r="B39" s="16" t="n">
        <x:v>35</x:v>
      </x:c>
      <x:c r="C39" s="16" t="n">
        <x:v>36</x:v>
      </x:c>
      <x:c r="D39" s="16" t="n">
        <x:v>4</x:v>
      </x:c>
      <x:c r="E39" s="16" t="n">
        <x:v>500000</x:v>
      </x:c>
      <x:c r="F39" s="16" t="n">
        <x:v>40</x:v>
      </x:c>
      <x:c r="G39" s="16" t="n">
        <x:v>40</x:v>
      </x:c>
      <x:c r="H39" s="17" t="str">
        <x:v>candidate</x:v>
      </x:c>
      <x:c r="I39" s="18" t="str">
        <x:v>最终策划案.md:616-626；5.3</x:v>
      </x:c>
      <x:c r="J39" s="18" t="str">
        <x:v>按5.3候选公式逐级展开；仅装备明确基础属性，51级以上另配。</x:v>
      </x:c>
    </x:row>
    <x:row r="40" ht="15" hidden="0" customHeight="1">
      <x:c r="A40" s="19" t="n">
        <x:v>37</x:v>
      </x:c>
      <x:c r="B40" s="16" t="n">
        <x:v>36</x:v>
      </x:c>
      <x:c r="C40" s="16" t="n">
        <x:v>37</x:v>
      </x:c>
      <x:c r="D40" s="16" t="n">
        <x:v>4</x:v>
      </x:c>
      <x:c r="E40" s="16" t="n">
        <x:v>400000</x:v>
      </x:c>
      <x:c r="F40" s="16" t="n">
        <x:v>40</x:v>
      </x:c>
      <x:c r="G40" s="16" t="n">
        <x:v>40</x:v>
      </x:c>
      <x:c r="H40" s="17" t="str">
        <x:v>candidate</x:v>
      </x:c>
      <x:c r="I40" s="18" t="str">
        <x:v>最终策划案.md:616-626；5.3</x:v>
      </x:c>
      <x:c r="J40" s="18" t="str">
        <x:v>按5.3候选公式逐级展开；仅装备明确基础属性，51级以上另配。</x:v>
      </x:c>
    </x:row>
    <x:row r="41" ht="15" hidden="0" customHeight="1">
      <x:c r="A41" s="19" t="n">
        <x:v>38</x:v>
      </x:c>
      <x:c r="B41" s="16" t="n">
        <x:v>37</x:v>
      </x:c>
      <x:c r="C41" s="16" t="n">
        <x:v>38</x:v>
      </x:c>
      <x:c r="D41" s="16" t="n">
        <x:v>4</x:v>
      </x:c>
      <x:c r="E41" s="16" t="n">
        <x:v>300000</x:v>
      </x:c>
      <x:c r="F41" s="16" t="n">
        <x:v>40</x:v>
      </x:c>
      <x:c r="G41" s="16" t="n">
        <x:v>40</x:v>
      </x:c>
      <x:c r="H41" s="17" t="str">
        <x:v>candidate</x:v>
      </x:c>
      <x:c r="I41" s="18" t="str">
        <x:v>最终策划案.md:616-626；5.3</x:v>
      </x:c>
      <x:c r="J41" s="18" t="str">
        <x:v>按5.3候选公式逐级展开；仅装备明确基础属性，51级以上另配。</x:v>
      </x:c>
    </x:row>
    <x:row r="42" ht="15" hidden="0" customHeight="1">
      <x:c r="A42" s="19" t="n">
        <x:v>39</x:v>
      </x:c>
      <x:c r="B42" s="16" t="n">
        <x:v>38</x:v>
      </x:c>
      <x:c r="C42" s="16" t="n">
        <x:v>39</x:v>
      </x:c>
      <x:c r="D42" s="16" t="n">
        <x:v>4</x:v>
      </x:c>
      <x:c r="E42" s="16" t="n">
        <x:v>200000</x:v>
      </x:c>
      <x:c r="F42" s="16" t="n">
        <x:v>40</x:v>
      </x:c>
      <x:c r="G42" s="16" t="n">
        <x:v>40</x:v>
      </x:c>
      <x:c r="H42" s="17" t="str">
        <x:v>candidate</x:v>
      </x:c>
      <x:c r="I42" s="18" t="str">
        <x:v>最终策划案.md:616-626；5.3</x:v>
      </x:c>
      <x:c r="J42" s="18" t="str">
        <x:v>按5.3候选公式逐级展开；仅装备明确基础属性，51级以上另配。</x:v>
      </x:c>
    </x:row>
    <x:row r="43" ht="15" hidden="0" customHeight="1">
      <x:c r="A43" s="19" t="n">
        <x:v>40</x:v>
      </x:c>
      <x:c r="B43" s="16" t="n">
        <x:v>39</x:v>
      </x:c>
      <x:c r="C43" s="16" t="n">
        <x:v>40</x:v>
      </x:c>
      <x:c r="D43" s="16" t="n">
        <x:v>4</x:v>
      </x:c>
      <x:c r="E43" s="16" t="n">
        <x:v>100000</x:v>
      </x:c>
      <x:c r="F43" s="16" t="n">
        <x:v>40</x:v>
      </x:c>
      <x:c r="G43" s="16" t="n">
        <x:v>40</x:v>
      </x:c>
      <x:c r="H43" s="17" t="str">
        <x:v>candidate</x:v>
      </x:c>
      <x:c r="I43" s="18" t="str">
        <x:v>最终策划案.md:616-626；5.3</x:v>
      </x:c>
      <x:c r="J43" s="18" t="str">
        <x:v>按5.3候选公式逐级展开；仅装备明确基础属性，51级以上另配。</x:v>
      </x:c>
    </x:row>
    <x:row r="44" ht="15" hidden="0" customHeight="1">
      <x:c r="A44" s="19" t="n">
        <x:v>41</x:v>
      </x:c>
      <x:c r="B44" s="16" t="n">
        <x:v>40</x:v>
      </x:c>
      <x:c r="C44" s="16" t="n">
        <x:v>41</x:v>
      </x:c>
      <x:c r="D44" s="16" t="n">
        <x:v>5</x:v>
      </x:c>
      <x:c r="E44" s="16" t="n">
        <x:v>1000000</x:v>
      </x:c>
      <x:c r="F44" s="16" t="n">
        <x:v>50</x:v>
      </x:c>
      <x:c r="G44" s="16" t="n">
        <x:v>50</x:v>
      </x:c>
      <x:c r="H44" s="17" t="str">
        <x:v>candidate</x:v>
      </x:c>
      <x:c r="I44" s="18" t="str">
        <x:v>最终策划案.md:616-626；5.3</x:v>
      </x:c>
      <x:c r="J44" s="18" t="str">
        <x:v>按5.3候选公式逐级展开；仅装备明确基础属性，51级以上另配。</x:v>
      </x:c>
    </x:row>
    <x:row r="45" ht="15" hidden="0" customHeight="1">
      <x:c r="A45" s="19" t="n">
        <x:v>42</x:v>
      </x:c>
      <x:c r="B45" s="16" t="n">
        <x:v>41</x:v>
      </x:c>
      <x:c r="C45" s="16" t="n">
        <x:v>42</x:v>
      </x:c>
      <x:c r="D45" s="16" t="n">
        <x:v>5</x:v>
      </x:c>
      <x:c r="E45" s="16" t="n">
        <x:v>900000</x:v>
      </x:c>
      <x:c r="F45" s="16" t="n">
        <x:v>50</x:v>
      </x:c>
      <x:c r="G45" s="16" t="n">
        <x:v>50</x:v>
      </x:c>
      <x:c r="H45" s="17" t="str">
        <x:v>candidate</x:v>
      </x:c>
      <x:c r="I45" s="18" t="str">
        <x:v>最终策划案.md:616-626；5.3</x:v>
      </x:c>
      <x:c r="J45" s="18" t="str">
        <x:v>按5.3候选公式逐级展开；仅装备明确基础属性，51级以上另配。</x:v>
      </x:c>
    </x:row>
    <x:row r="46" ht="15" hidden="0" customHeight="1">
      <x:c r="A46" s="19" t="n">
        <x:v>43</x:v>
      </x:c>
      <x:c r="B46" s="16" t="n">
        <x:v>42</x:v>
      </x:c>
      <x:c r="C46" s="16" t="n">
        <x:v>43</x:v>
      </x:c>
      <x:c r="D46" s="16" t="n">
        <x:v>5</x:v>
      </x:c>
      <x:c r="E46" s="16" t="n">
        <x:v>800000</x:v>
      </x:c>
      <x:c r="F46" s="16" t="n">
        <x:v>50</x:v>
      </x:c>
      <x:c r="G46" s="16" t="n">
        <x:v>50</x:v>
      </x:c>
      <x:c r="H46" s="17" t="str">
        <x:v>candidate</x:v>
      </x:c>
      <x:c r="I46" s="18" t="str">
        <x:v>最终策划案.md:616-626；5.3</x:v>
      </x:c>
      <x:c r="J46" s="18" t="str">
        <x:v>按5.3候选公式逐级展开；仅装备明确基础属性，51级以上另配。</x:v>
      </x:c>
    </x:row>
    <x:row r="47" ht="15" hidden="0" customHeight="1">
      <x:c r="A47" s="19" t="n">
        <x:v>44</x:v>
      </x:c>
      <x:c r="B47" s="16" t="n">
        <x:v>43</x:v>
      </x:c>
      <x:c r="C47" s="16" t="n">
        <x:v>44</x:v>
      </x:c>
      <x:c r="D47" s="16" t="n">
        <x:v>5</x:v>
      </x:c>
      <x:c r="E47" s="16" t="n">
        <x:v>700000</x:v>
      </x:c>
      <x:c r="F47" s="16" t="n">
        <x:v>50</x:v>
      </x:c>
      <x:c r="G47" s="16" t="n">
        <x:v>50</x:v>
      </x:c>
      <x:c r="H47" s="17" t="str">
        <x:v>candidate</x:v>
      </x:c>
      <x:c r="I47" s="18" t="str">
        <x:v>最终策划案.md:616-626；5.3</x:v>
      </x:c>
      <x:c r="J47" s="18" t="str">
        <x:v>按5.3候选公式逐级展开；仅装备明确基础属性，51级以上另配。</x:v>
      </x:c>
    </x:row>
    <x:row r="48" ht="15" hidden="0" customHeight="1">
      <x:c r="A48" s="19" t="n">
        <x:v>45</x:v>
      </x:c>
      <x:c r="B48" s="16" t="n">
        <x:v>44</x:v>
      </x:c>
      <x:c r="C48" s="16" t="n">
        <x:v>45</x:v>
      </x:c>
      <x:c r="D48" s="16" t="n">
        <x:v>5</x:v>
      </x:c>
      <x:c r="E48" s="16" t="n">
        <x:v>600000</x:v>
      </x:c>
      <x:c r="F48" s="16" t="n">
        <x:v>50</x:v>
      </x:c>
      <x:c r="G48" s="16" t="n">
        <x:v>50</x:v>
      </x:c>
      <x:c r="H48" s="17" t="str">
        <x:v>candidate</x:v>
      </x:c>
      <x:c r="I48" s="18" t="str">
        <x:v>最终策划案.md:616-626；5.3</x:v>
      </x:c>
      <x:c r="J48" s="18" t="str">
        <x:v>按5.3候选公式逐级展开；仅装备明确基础属性，51级以上另配。</x:v>
      </x:c>
    </x:row>
    <x:row r="49" ht="15" hidden="0" customHeight="1">
      <x:c r="A49" s="19" t="n">
        <x:v>46</x:v>
      </x:c>
      <x:c r="B49" s="16" t="n">
        <x:v>45</x:v>
      </x:c>
      <x:c r="C49" s="16" t="n">
        <x:v>46</x:v>
      </x:c>
      <x:c r="D49" s="16" t="n">
        <x:v>5</x:v>
      </x:c>
      <x:c r="E49" s="16" t="n">
        <x:v>500000</x:v>
      </x:c>
      <x:c r="F49" s="16" t="n">
        <x:v>50</x:v>
      </x:c>
      <x:c r="G49" s="16" t="n">
        <x:v>50</x:v>
      </x:c>
      <x:c r="H49" s="17" t="str">
        <x:v>candidate</x:v>
      </x:c>
      <x:c r="I49" s="18" t="str">
        <x:v>最终策划案.md:616-626；5.3</x:v>
      </x:c>
      <x:c r="J49" s="18" t="str">
        <x:v>按5.3候选公式逐级展开；仅装备明确基础属性，51级以上另配。</x:v>
      </x:c>
    </x:row>
    <x:row r="50" ht="15" hidden="0" customHeight="1">
      <x:c r="A50" s="19" t="n">
        <x:v>47</x:v>
      </x:c>
      <x:c r="B50" s="16" t="n">
        <x:v>46</x:v>
      </x:c>
      <x:c r="C50" s="16" t="n">
        <x:v>47</x:v>
      </x:c>
      <x:c r="D50" s="16" t="n">
        <x:v>5</x:v>
      </x:c>
      <x:c r="E50" s="16" t="n">
        <x:v>400000</x:v>
      </x:c>
      <x:c r="F50" s="16" t="n">
        <x:v>50</x:v>
      </x:c>
      <x:c r="G50" s="16" t="n">
        <x:v>50</x:v>
      </x:c>
      <x:c r="H50" s="17" t="str">
        <x:v>candidate</x:v>
      </x:c>
      <x:c r="I50" s="18" t="str">
        <x:v>最终策划案.md:616-626；5.3</x:v>
      </x:c>
      <x:c r="J50" s="18" t="str">
        <x:v>按5.3候选公式逐级展开；仅装备明确基础属性，51级以上另配。</x:v>
      </x:c>
    </x:row>
    <x:row r="51" ht="15" hidden="0" customHeight="1">
      <x:c r="A51" s="19" t="n">
        <x:v>48</x:v>
      </x:c>
      <x:c r="B51" s="16" t="n">
        <x:v>47</x:v>
      </x:c>
      <x:c r="C51" s="16" t="n">
        <x:v>48</x:v>
      </x:c>
      <x:c r="D51" s="16" t="n">
        <x:v>5</x:v>
      </x:c>
      <x:c r="E51" s="16" t="n">
        <x:v>300000</x:v>
      </x:c>
      <x:c r="F51" s="16" t="n">
        <x:v>50</x:v>
      </x:c>
      <x:c r="G51" s="16" t="n">
        <x:v>50</x:v>
      </x:c>
      <x:c r="H51" s="17" t="str">
        <x:v>candidate</x:v>
      </x:c>
      <x:c r="I51" s="18" t="str">
        <x:v>最终策划案.md:616-626；5.3</x:v>
      </x:c>
      <x:c r="J51" s="18" t="str">
        <x:v>按5.3候选公式逐级展开；仅装备明确基础属性，51级以上另配。</x:v>
      </x:c>
    </x:row>
    <x:row r="52" ht="15" hidden="0" customHeight="1">
      <x:c r="A52" s="19" t="n">
        <x:v>49</x:v>
      </x:c>
      <x:c r="B52" s="16" t="n">
        <x:v>48</x:v>
      </x:c>
      <x:c r="C52" s="16" t="n">
        <x:v>49</x:v>
      </x:c>
      <x:c r="D52" s="16" t="n">
        <x:v>5</x:v>
      </x:c>
      <x:c r="E52" s="16" t="n">
        <x:v>200000</x:v>
      </x:c>
      <x:c r="F52" s="16" t="n">
        <x:v>50</x:v>
      </x:c>
      <x:c r="G52" s="16" t="n">
        <x:v>50</x:v>
      </x:c>
      <x:c r="H52" s="17" t="str">
        <x:v>candidate</x:v>
      </x:c>
      <x:c r="I52" s="18" t="str">
        <x:v>最终策划案.md:616-626；5.3</x:v>
      </x:c>
      <x:c r="J52" s="18" t="str">
        <x:v>按5.3候选公式逐级展开；仅装备明确基础属性，51级以上另配。</x:v>
      </x:c>
    </x:row>
    <x:row r="53" ht="15" hidden="0" customHeight="1">
      <x:c r="A53" s="19" t="n">
        <x:v>50</x:v>
      </x:c>
      <x:c r="B53" s="16" t="n">
        <x:v>49</x:v>
      </x:c>
      <x:c r="C53" s="16" t="n">
        <x:v>50</x:v>
      </x:c>
      <x:c r="D53" s="16" t="n">
        <x:v>5</x:v>
      </x:c>
      <x:c r="E53" s="16" t="n">
        <x:v>100000</x:v>
      </x:c>
      <x:c r="F53" s="16" t="n">
        <x:v>50</x:v>
      </x:c>
      <x:c r="G53" s="16" t="n">
        <x:v>50</x:v>
      </x:c>
      <x:c r="H53" s="17" t="str">
        <x:v>candidate</x:v>
      </x:c>
      <x:c r="I53" s="18" t="str">
        <x:v>最终策划案.md:616-626；5.3</x:v>
      </x:c>
      <x:c r="J53" s="18" t="str">
        <x:v>按5.3候选公式逐级展开；仅装备明确基础属性，51级以上另配。</x:v>
      </x:c>
    </x:row>
  </x:sheetData>
  <x:conditionalFormatting sqref="A4:A1003">
    <x:cfRule type="expression" dxfId="141" priority="1">
      <x:formula>AND($A4&lt;&gt;"",ISBLANK(A4))</x:formula>
    </x:cfRule>
  </x:conditionalFormatting>
  <x:conditionalFormatting sqref="B4:B1003">
    <x:cfRule type="expression" dxfId="142" priority="2">
      <x:formula>AND($A4&lt;&gt;"",ISBLANK(B4))</x:formula>
    </x:cfRule>
  </x:conditionalFormatting>
  <x:conditionalFormatting sqref="C4:C1003">
    <x:cfRule type="expression" dxfId="143" priority="3">
      <x:formula>AND($A4&lt;&gt;"",ISBLANK(C4))</x:formula>
    </x:cfRule>
  </x:conditionalFormatting>
  <x:conditionalFormatting sqref="D4:D1003">
    <x:cfRule type="expression" dxfId="144" priority="4">
      <x:formula>AND($A4&lt;&gt;"",ISBLANK(D4))</x:formula>
    </x:cfRule>
  </x:conditionalFormatting>
  <x:conditionalFormatting sqref="E4:E1003">
    <x:cfRule type="expression" dxfId="145" priority="5">
      <x:formula>AND($A4&lt;&gt;"",ISBLANK(E4))</x:formula>
    </x:cfRule>
  </x:conditionalFormatting>
  <x:conditionalFormatting sqref="F4:F1003">
    <x:cfRule type="expression" dxfId="146" priority="6">
      <x:formula>AND($A4&lt;&gt;"",ISBLANK(F4))</x:formula>
    </x:cfRule>
  </x:conditionalFormatting>
  <x:conditionalFormatting sqref="G4:G1003">
    <x:cfRule type="expression" dxfId="147" priority="7">
      <x:formula>AND($A4&lt;&gt;"",ISBLANK(G4))</x:formula>
    </x:cfRule>
  </x:conditionalFormatting>
  <x:conditionalFormatting sqref="H4:H1003">
    <x:cfRule type="containsText" dxfId="148" priority="8" operator="containsText" text="candidate"/>
    <x:cfRule type="containsText" dxfId="149" priority="9" operator="containsText" text="unverified"/>
    <x:cfRule type="containsText" dxfId="150" priority="10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系别键</x:v>
      </x:c>
      <x:c r="C1" s="7" t="str">
        <x:v>系别</x:v>
      </x:c>
      <x:c r="D1" s="7" t="str">
        <x:v>扣费货币组</x:v>
      </x:c>
      <x:c r="E1" s="7" t="str">
        <x:v>单次费用基数</x:v>
      </x:c>
      <x:c r="F1" s="7" t="str">
        <x:v>预算归属</x:v>
      </x:c>
      <x:c r="G1" s="7" t="str">
        <x:v>属性曲线引用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track_key</x:v>
      </x:c>
      <x:c r="C2" s="12" t="str">
        <x:v>display_name</x:v>
      </x:c>
      <x:c r="D2" s="12" t="str">
        <x:v>currency_family</x:v>
      </x:c>
      <x:c r="E2" s="12" t="str">
        <x:v>cost_base_u</x:v>
      </x:c>
      <x:c r="F2" s="12" t="str">
        <x:v>budget_group</x:v>
      </x:c>
      <x:c r="G2" s="12" t="str">
        <x:v>attr_curve_key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int / 必填 / 金币整数或0.1元宝 / both</x:v>
      </x:c>
      <x:c r="F3" s="15" t="str">
        <x:v>string / 必填 / both</x:v>
      </x:c>
      <x:c r="G3" s="15" t="str">
        <x:v>string / 可空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 t="n">
        <x:v>1</x:v>
      </x:c>
      <x:c r="B4" s="17" t="str">
        <x:v>damage</x:v>
      </x:c>
      <x:c r="C4" s="17" t="str">
        <x:v>伤害</x:v>
      </x:c>
      <x:c r="D4" s="17" t="str">
        <x:v>gold</x:v>
      </x:c>
      <x:c r="E4" s="16" t="n">
        <x:v>3000</x:v>
      </x:c>
      <x:c r="F4" s="17" t="str">
        <x:v>expanded_damage</x:v>
      </x:c>
      <x:c r="G4" s="17"/>
      <x:c r="H4" s="17" t="str">
        <x:v>candidate</x:v>
      </x:c>
      <x:c r="I4" s="18" t="str">
        <x:v>最终策划案.md:197-217、686-709；4.5、5.7</x:v>
      </x:c>
      <x:c r="J4" s="18" t="str">
        <x:v>费用乘floor(L/10)+1；属性未发布，不能开放扣费。</x:v>
      </x:c>
    </x:row>
    <x:row r="5" ht="15" hidden="0" customHeight="1">
      <x:c r="A5" s="19" t="n">
        <x:v>2</x:v>
      </x:c>
      <x:c r="B5" s="17" t="str">
        <x:v>absorption</x:v>
      </x:c>
      <x:c r="C5" s="17" t="str">
        <x:v>伤害吸收</x:v>
      </x:c>
      <x:c r="D5" s="17" t="str">
        <x:v>gold</x:v>
      </x:c>
      <x:c r="E5" s="16" t="n">
        <x:v>1500</x:v>
      </x:c>
      <x:c r="F5" s="17" t="str">
        <x:v>expanded_absorption</x:v>
      </x:c>
      <x:c r="G5" s="17"/>
      <x:c r="H5" s="17" t="str">
        <x:v>candidate</x:v>
      </x:c>
      <x:c r="I5" s="18" t="str">
        <x:v>最终策划案.md:197-217、686-709；4.5、5.7</x:v>
      </x:c>
      <x:c r="J5" s="18" t="str">
        <x:v>费用乘floor(L/10)+1；属性未发布，不能开放扣费。</x:v>
      </x:c>
    </x:row>
    <x:row r="6" ht="15" hidden="0" customHeight="1">
      <x:c r="A6" s="19" t="n">
        <x:v>3</x:v>
      </x:c>
      <x:c r="B6" s="17" t="str">
        <x:v>hp</x:v>
      </x:c>
      <x:c r="C6" s="17" t="str">
        <x:v>生命上限</x:v>
      </x:c>
      <x:c r="D6" s="17" t="str">
        <x:v>gold</x:v>
      </x:c>
      <x:c r="E6" s="16" t="n">
        <x:v>1500</x:v>
      </x:c>
      <x:c r="F6" s="17" t="str">
        <x:v>effective_survival</x:v>
      </x:c>
      <x:c r="G6" s="17"/>
      <x:c r="H6" s="17" t="str">
        <x:v>candidate</x:v>
      </x:c>
      <x:c r="I6" s="18" t="str">
        <x:v>最终策划案.md:197-217、686-709；4.5、5.7</x:v>
      </x:c>
      <x:c r="J6" s="18" t="str">
        <x:v>费用乘floor(L/10)+1；属性未发布，不能开放扣费。</x:v>
      </x:c>
    </x:row>
    <x:row r="7" ht="15" hidden="0" customHeight="1">
      <x:c r="A7" s="19" t="n">
        <x:v>4</x:v>
      </x:c>
      <x:c r="B7" s="17" t="str">
        <x:v>mp</x:v>
      </x:c>
      <x:c r="C7" s="17" t="str">
        <x:v>魔法上限</x:v>
      </x:c>
      <x:c r="D7" s="17" t="str">
        <x:v>gold</x:v>
      </x:c>
      <x:c r="E7" s="16" t="n">
        <x:v>1500</x:v>
      </x:c>
      <x:c r="F7" s="17" t="str">
        <x:v>resource</x:v>
      </x:c>
      <x:c r="G7" s="17"/>
      <x:c r="H7" s="17" t="str">
        <x:v>candidate</x:v>
      </x:c>
      <x:c r="I7" s="18" t="str">
        <x:v>最终策划案.md:197-217、686-709；4.5、5.7</x:v>
      </x:c>
      <x:c r="J7" s="18" t="str">
        <x:v>费用乘floor(L/10)+1；属性未发布，不能开放扣费。</x:v>
      </x:c>
    </x:row>
    <x:row r="8" ht="15" hidden="0" customHeight="1">
      <x:c r="A8" s="19" t="n">
        <x:v>5</x:v>
      </x:c>
      <x:c r="B8" s="17" t="str">
        <x:v>critical</x:v>
      </x:c>
      <x:c r="C8" s="17" t="str">
        <x:v>暴击</x:v>
      </x:c>
      <x:c r="D8" s="17" t="str">
        <x:v>ingot</x:v>
      </x:c>
      <x:c r="E8" s="16" t="n">
        <x:v>200</x:v>
      </x:c>
      <x:c r="F8" s="17" t="str">
        <x:v>sustained_output</x:v>
      </x:c>
      <x:c r="G8" s="17"/>
      <x:c r="H8" s="17" t="str">
        <x:v>candidate</x:v>
      </x:c>
      <x:c r="I8" s="18" t="str">
        <x:v>最终策划案.md:197-217、686-709；4.5、5.7</x:v>
      </x:c>
      <x:c r="J8" s="18" t="str">
        <x:v>费用乘floor(L/10)+1；属性未发布，不能开放扣费。</x:v>
      </x:c>
    </x:row>
    <x:row r="9" ht="15" hidden="0" customHeight="1">
      <x:c r="A9" s="19" t="n">
        <x:v>6</x:v>
      </x:c>
      <x:c r="B9" s="17" t="str">
        <x:v>speed</x:v>
      </x:c>
      <x:c r="C9" s="17" t="str">
        <x:v>攻速</x:v>
      </x:c>
      <x:c r="D9" s="17" t="str">
        <x:v>ingot</x:v>
      </x:c>
      <x:c r="E9" s="16" t="n">
        <x:v>200</x:v>
      </x:c>
      <x:c r="F9" s="17" t="str">
        <x:v>sustained_output</x:v>
      </x:c>
      <x:c r="G9" s="17"/>
      <x:c r="H9" s="17" t="str">
        <x:v>candidate</x:v>
      </x:c>
      <x:c r="I9" s="18" t="str">
        <x:v>最终策划案.md:197-217、686-709；4.5、5.7</x:v>
      </x:c>
      <x:c r="J9" s="18" t="str">
        <x:v>费用乘floor(L/10)+1；属性未发布，不能开放扣费。</x:v>
      </x:c>
    </x:row>
    <x:row r="10" ht="15" hidden="0" customHeight="1">
      <x:c r="A10" s="19" t="n">
        <x:v>7</x:v>
      </x:c>
      <x:c r="B10" s="17" t="str">
        <x:v>resistance</x:v>
      </x:c>
      <x:c r="C10" s="17" t="str">
        <x:v>全抗</x:v>
      </x:c>
      <x:c r="D10" s="17" t="str">
        <x:v>ingot</x:v>
      </x:c>
      <x:c r="E10" s="16" t="n">
        <x:v>200</x:v>
      </x:c>
      <x:c r="F10" s="17" t="str">
        <x:v>resistance</x:v>
      </x:c>
      <x:c r="G10" s="17"/>
      <x:c r="H10" s="17" t="str">
        <x:v>candidate</x:v>
      </x:c>
      <x:c r="I10" s="18" t="str">
        <x:v>最终策划案.md:197-217、686-709；4.5、5.7</x:v>
      </x:c>
      <x:c r="J10" s="18" t="str">
        <x:v>费用乘floor(L/10)+1；属性未发布，不能开放扣费。</x:v>
      </x:c>
    </x:row>
  </x:sheetData>
  <x:conditionalFormatting sqref="A4:A1003">
    <x:cfRule type="expression" dxfId="151" priority="1">
      <x:formula>AND($A4&lt;&gt;"",ISBLANK(A4))</x:formula>
    </x:cfRule>
  </x:conditionalFormatting>
  <x:conditionalFormatting sqref="B4:B1003">
    <x:cfRule type="expression" dxfId="152" priority="2">
      <x:formula>AND($A4&lt;&gt;"",ISBLANK(B4))</x:formula>
    </x:cfRule>
  </x:conditionalFormatting>
  <x:conditionalFormatting sqref="C4:C1003">
    <x:cfRule type="expression" dxfId="153" priority="3">
      <x:formula>AND($A4&lt;&gt;"",ISBLANK(C4))</x:formula>
    </x:cfRule>
  </x:conditionalFormatting>
  <x:conditionalFormatting sqref="D4:D1003">
    <x:cfRule type="expression" dxfId="154" priority="4">
      <x:formula>AND($A4&lt;&gt;"",ISBLANK(D4))</x:formula>
    </x:cfRule>
  </x:conditionalFormatting>
  <x:conditionalFormatting sqref="E4:E1003">
    <x:cfRule type="expression" dxfId="155" priority="5">
      <x:formula>AND($A4&lt;&gt;"",ISBLANK(E4))</x:formula>
    </x:cfRule>
  </x:conditionalFormatting>
  <x:conditionalFormatting sqref="F4:F1003">
    <x:cfRule type="expression" dxfId="156" priority="6">
      <x:formula>AND($A4&lt;&gt;"",ISBLANK(F4))</x:formula>
    </x:cfRule>
  </x:conditionalFormatting>
  <x:conditionalFormatting sqref="H4:H1003">
    <x:cfRule type="containsText" dxfId="157" priority="7" operator="containsText" text="candidate"/>
    <x:cfRule type="containsText" dxfId="158" priority="8" operator="containsText" text="unverified"/>
    <x:cfRule type="containsText" dxfId="159" priority="9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当前等级</x:v>
      </x:c>
      <x:c r="C1" s="7" t="str">
        <x:v>成功目标</x:v>
      </x:c>
      <x:c r="D1" s="7" t="str">
        <x:v>费用阶段乘数</x:v>
      </x:c>
      <x:c r="E1" s="7" t="str">
        <x:v>尝试成功率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from_level</x:v>
      </x:c>
      <x:c r="C2" s="12" t="str">
        <x:v>to_level</x:v>
      </x:c>
      <x:c r="D2" s="12" t="str">
        <x:v>cost_multiplier</x:v>
      </x:c>
      <x:c r="E2" s="12" t="str">
        <x:v>success_ppm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百万分率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 t="n">
        <x:v>1</x:v>
      </x:c>
      <x:c r="B4" s="16" t="n">
        <x:v>0</x:v>
      </x:c>
      <x:c r="C4" s="16" t="n">
        <x:v>1</x:v>
      </x:c>
      <x:c r="D4" s="16" t="n">
        <x:v>1</x:v>
      </x:c>
      <x:c r="E4" s="16" t="n">
        <x:v>1000000</x:v>
      </x:c>
      <x:c r="F4" s="17" t="str">
        <x:v>candidate</x:v>
      </x:c>
      <x:c r="G4" s="18" t="str">
        <x:v>最终策划案.md:201-215；4.5</x:v>
      </x:c>
      <x:c r="H4" s="18" t="str"/>
    </x:row>
    <x:row r="5" ht="15" hidden="0" customHeight="1">
      <x:c r="A5" s="19" t="n">
        <x:v>2</x:v>
      </x:c>
      <x:c r="B5" s="16" t="n">
        <x:v>1</x:v>
      </x:c>
      <x:c r="C5" s="16" t="n">
        <x:v>2</x:v>
      </x:c>
      <x:c r="D5" s="16" t="n">
        <x:v>1</x:v>
      </x:c>
      <x:c r="E5" s="16" t="n">
        <x:v>900000</x:v>
      </x:c>
      <x:c r="F5" s="17" t="str">
        <x:v>candidate</x:v>
      </x:c>
      <x:c r="G5" s="18" t="str">
        <x:v>最终策划案.md:201-215；4.5</x:v>
      </x:c>
      <x:c r="H5" s="18" t="str"/>
    </x:row>
    <x:row r="6" ht="15" hidden="0" customHeight="1">
      <x:c r="A6" s="19" t="n">
        <x:v>3</x:v>
      </x:c>
      <x:c r="B6" s="16" t="n">
        <x:v>2</x:v>
      </x:c>
      <x:c r="C6" s="16" t="n">
        <x:v>3</x:v>
      </x:c>
      <x:c r="D6" s="16" t="n">
        <x:v>1</x:v>
      </x:c>
      <x:c r="E6" s="16" t="n">
        <x:v>800000</x:v>
      </x:c>
      <x:c r="F6" s="17" t="str">
        <x:v>candidate</x:v>
      </x:c>
      <x:c r="G6" s="18" t="str">
        <x:v>最终策划案.md:201-215；4.5</x:v>
      </x:c>
      <x:c r="H6" s="18" t="str"/>
    </x:row>
    <x:row r="7" ht="15" hidden="0" customHeight="1">
      <x:c r="A7" s="19" t="n">
        <x:v>4</x:v>
      </x:c>
      <x:c r="B7" s="16" t="n">
        <x:v>3</x:v>
      </x:c>
      <x:c r="C7" s="16" t="n">
        <x:v>4</x:v>
      </x:c>
      <x:c r="D7" s="16" t="n">
        <x:v>1</x:v>
      </x:c>
      <x:c r="E7" s="16" t="n">
        <x:v>700000</x:v>
      </x:c>
      <x:c r="F7" s="17" t="str">
        <x:v>candidate</x:v>
      </x:c>
      <x:c r="G7" s="18" t="str">
        <x:v>最终策划案.md:201-215；4.5</x:v>
      </x:c>
      <x:c r="H7" s="18" t="str"/>
    </x:row>
    <x:row r="8" ht="15" hidden="0" customHeight="1">
      <x:c r="A8" s="19" t="n">
        <x:v>5</x:v>
      </x:c>
      <x:c r="B8" s="16" t="n">
        <x:v>4</x:v>
      </x:c>
      <x:c r="C8" s="16" t="n">
        <x:v>5</x:v>
      </x:c>
      <x:c r="D8" s="16" t="n">
        <x:v>1</x:v>
      </x:c>
      <x:c r="E8" s="16" t="n">
        <x:v>600000</x:v>
      </x:c>
      <x:c r="F8" s="17" t="str">
        <x:v>candidate</x:v>
      </x:c>
      <x:c r="G8" s="18" t="str">
        <x:v>最终策划案.md:201-215；4.5</x:v>
      </x:c>
      <x:c r="H8" s="18" t="str"/>
    </x:row>
    <x:row r="9" ht="15" hidden="0" customHeight="1">
      <x:c r="A9" s="19" t="n">
        <x:v>6</x:v>
      </x:c>
      <x:c r="B9" s="16" t="n">
        <x:v>5</x:v>
      </x:c>
      <x:c r="C9" s="16" t="n">
        <x:v>6</x:v>
      </x:c>
      <x:c r="D9" s="16" t="n">
        <x:v>1</x:v>
      </x:c>
      <x:c r="E9" s="16" t="n">
        <x:v>500000</x:v>
      </x:c>
      <x:c r="F9" s="17" t="str">
        <x:v>candidate</x:v>
      </x:c>
      <x:c r="G9" s="18" t="str">
        <x:v>最终策划案.md:201-215；4.5</x:v>
      </x:c>
      <x:c r="H9" s="18" t="str"/>
    </x:row>
    <x:row r="10" ht="15" hidden="0" customHeight="1">
      <x:c r="A10" s="19" t="n">
        <x:v>7</x:v>
      </x:c>
      <x:c r="B10" s="16" t="n">
        <x:v>6</x:v>
      </x:c>
      <x:c r="C10" s="16" t="n">
        <x:v>7</x:v>
      </x:c>
      <x:c r="D10" s="16" t="n">
        <x:v>1</x:v>
      </x:c>
      <x:c r="E10" s="16" t="n">
        <x:v>400000</x:v>
      </x:c>
      <x:c r="F10" s="17" t="str">
        <x:v>candidate</x:v>
      </x:c>
      <x:c r="G10" s="18" t="str">
        <x:v>最终策划案.md:201-215；4.5</x:v>
      </x:c>
      <x:c r="H10" s="18" t="str"/>
    </x:row>
    <x:row r="11" ht="15" hidden="0" customHeight="1">
      <x:c r="A11" s="19" t="n">
        <x:v>8</x:v>
      </x:c>
      <x:c r="B11" s="16" t="n">
        <x:v>7</x:v>
      </x:c>
      <x:c r="C11" s="16" t="n">
        <x:v>8</x:v>
      </x:c>
      <x:c r="D11" s="16" t="n">
        <x:v>1</x:v>
      </x:c>
      <x:c r="E11" s="16" t="n">
        <x:v>300000</x:v>
      </x:c>
      <x:c r="F11" s="17" t="str">
        <x:v>candidate</x:v>
      </x:c>
      <x:c r="G11" s="18" t="str">
        <x:v>最终策划案.md:201-215；4.5</x:v>
      </x:c>
      <x:c r="H11" s="18" t="str"/>
    </x:row>
    <x:row r="12" ht="15" hidden="0" customHeight="1">
      <x:c r="A12" s="19" t="n">
        <x:v>9</x:v>
      </x:c>
      <x:c r="B12" s="16" t="n">
        <x:v>8</x:v>
      </x:c>
      <x:c r="C12" s="16" t="n">
        <x:v>9</x:v>
      </x:c>
      <x:c r="D12" s="16" t="n">
        <x:v>1</x:v>
      </x:c>
      <x:c r="E12" s="16" t="n">
        <x:v>200000</x:v>
      </x:c>
      <x:c r="F12" s="17" t="str">
        <x:v>candidate</x:v>
      </x:c>
      <x:c r="G12" s="18" t="str">
        <x:v>最终策划案.md:201-215；4.5</x:v>
      </x:c>
      <x:c r="H12" s="18" t="str"/>
    </x:row>
    <x:row r="13" ht="15" hidden="0" customHeight="1">
      <x:c r="A13" s="19" t="n">
        <x:v>10</x:v>
      </x:c>
      <x:c r="B13" s="16" t="n">
        <x:v>9</x:v>
      </x:c>
      <x:c r="C13" s="16" t="n">
        <x:v>10</x:v>
      </x:c>
      <x:c r="D13" s="16" t="n">
        <x:v>1</x:v>
      </x:c>
      <x:c r="E13" s="16" t="n">
        <x:v>100000</x:v>
      </x:c>
      <x:c r="F13" s="17" t="str">
        <x:v>candidate</x:v>
      </x:c>
      <x:c r="G13" s="18" t="str">
        <x:v>最终策划案.md:201-215；4.5</x:v>
      </x:c>
      <x:c r="H13" s="18" t="str"/>
    </x:row>
    <x:row r="14" ht="15" hidden="0" customHeight="1">
      <x:c r="A14" s="19" t="n">
        <x:v>11</x:v>
      </x:c>
      <x:c r="B14" s="16" t="n">
        <x:v>10</x:v>
      </x:c>
      <x:c r="C14" s="16" t="n">
        <x:v>11</x:v>
      </x:c>
      <x:c r="D14" s="16" t="n">
        <x:v>2</x:v>
      </x:c>
      <x:c r="E14" s="16" t="n">
        <x:v>1000000</x:v>
      </x:c>
      <x:c r="F14" s="17" t="str">
        <x:v>candidate</x:v>
      </x:c>
      <x:c r="G14" s="18" t="str">
        <x:v>最终策划案.md:201-215；4.5</x:v>
      </x:c>
      <x:c r="H14" s="18" t="str"/>
    </x:row>
    <x:row r="15" ht="15" hidden="0" customHeight="1">
      <x:c r="A15" s="19" t="n">
        <x:v>12</x:v>
      </x:c>
      <x:c r="B15" s="16" t="n">
        <x:v>11</x:v>
      </x:c>
      <x:c r="C15" s="16" t="n">
        <x:v>12</x:v>
      </x:c>
      <x:c r="D15" s="16" t="n">
        <x:v>2</x:v>
      </x:c>
      <x:c r="E15" s="16" t="n">
        <x:v>900000</x:v>
      </x:c>
      <x:c r="F15" s="17" t="str">
        <x:v>candidate</x:v>
      </x:c>
      <x:c r="G15" s="18" t="str">
        <x:v>最终策划案.md:201-215；4.5</x:v>
      </x:c>
      <x:c r="H15" s="18" t="str"/>
    </x:row>
    <x:row r="16" ht="15" hidden="0" customHeight="1">
      <x:c r="A16" s="19" t="n">
        <x:v>13</x:v>
      </x:c>
      <x:c r="B16" s="16" t="n">
        <x:v>12</x:v>
      </x:c>
      <x:c r="C16" s="16" t="n">
        <x:v>13</x:v>
      </x:c>
      <x:c r="D16" s="16" t="n">
        <x:v>2</x:v>
      </x:c>
      <x:c r="E16" s="16" t="n">
        <x:v>800000</x:v>
      </x:c>
      <x:c r="F16" s="17" t="str">
        <x:v>candidate</x:v>
      </x:c>
      <x:c r="G16" s="18" t="str">
        <x:v>最终策划案.md:201-215；4.5</x:v>
      </x:c>
      <x:c r="H16" s="18" t="str"/>
    </x:row>
    <x:row r="17" ht="15" hidden="0" customHeight="1">
      <x:c r="A17" s="19" t="n">
        <x:v>14</x:v>
      </x:c>
      <x:c r="B17" s="16" t="n">
        <x:v>13</x:v>
      </x:c>
      <x:c r="C17" s="16" t="n">
        <x:v>14</x:v>
      </x:c>
      <x:c r="D17" s="16" t="n">
        <x:v>2</x:v>
      </x:c>
      <x:c r="E17" s="16" t="n">
        <x:v>700000</x:v>
      </x:c>
      <x:c r="F17" s="17" t="str">
        <x:v>candidate</x:v>
      </x:c>
      <x:c r="G17" s="18" t="str">
        <x:v>最终策划案.md:201-215；4.5</x:v>
      </x:c>
      <x:c r="H17" s="18" t="str"/>
    </x:row>
    <x:row r="18" ht="15" hidden="0" customHeight="1">
      <x:c r="A18" s="19" t="n">
        <x:v>15</x:v>
      </x:c>
      <x:c r="B18" s="16" t="n">
        <x:v>14</x:v>
      </x:c>
      <x:c r="C18" s="16" t="n">
        <x:v>15</x:v>
      </x:c>
      <x:c r="D18" s="16" t="n">
        <x:v>2</x:v>
      </x:c>
      <x:c r="E18" s="16" t="n">
        <x:v>600000</x:v>
      </x:c>
      <x:c r="F18" s="17" t="str">
        <x:v>candidate</x:v>
      </x:c>
      <x:c r="G18" s="18" t="str">
        <x:v>最终策划案.md:201-215；4.5</x:v>
      </x:c>
      <x:c r="H18" s="18" t="str"/>
    </x:row>
    <x:row r="19" ht="15" hidden="0" customHeight="1">
      <x:c r="A19" s="19" t="n">
        <x:v>16</x:v>
      </x:c>
      <x:c r="B19" s="16" t="n">
        <x:v>15</x:v>
      </x:c>
      <x:c r="C19" s="16" t="n">
        <x:v>16</x:v>
      </x:c>
      <x:c r="D19" s="16" t="n">
        <x:v>2</x:v>
      </x:c>
      <x:c r="E19" s="16" t="n">
        <x:v>500000</x:v>
      </x:c>
      <x:c r="F19" s="17" t="str">
        <x:v>candidate</x:v>
      </x:c>
      <x:c r="G19" s="18" t="str">
        <x:v>最终策划案.md:201-215；4.5</x:v>
      </x:c>
      <x:c r="H19" s="18" t="str"/>
    </x:row>
    <x:row r="20" ht="15" hidden="0" customHeight="1">
      <x:c r="A20" s="19" t="n">
        <x:v>17</x:v>
      </x:c>
      <x:c r="B20" s="16" t="n">
        <x:v>16</x:v>
      </x:c>
      <x:c r="C20" s="16" t="n">
        <x:v>17</x:v>
      </x:c>
      <x:c r="D20" s="16" t="n">
        <x:v>2</x:v>
      </x:c>
      <x:c r="E20" s="16" t="n">
        <x:v>400000</x:v>
      </x:c>
      <x:c r="F20" s="17" t="str">
        <x:v>candidate</x:v>
      </x:c>
      <x:c r="G20" s="18" t="str">
        <x:v>最终策划案.md:201-215；4.5</x:v>
      </x:c>
      <x:c r="H20" s="18" t="str"/>
    </x:row>
    <x:row r="21" ht="15" hidden="0" customHeight="1">
      <x:c r="A21" s="19" t="n">
        <x:v>18</x:v>
      </x:c>
      <x:c r="B21" s="16" t="n">
        <x:v>17</x:v>
      </x:c>
      <x:c r="C21" s="16" t="n">
        <x:v>18</x:v>
      </x:c>
      <x:c r="D21" s="16" t="n">
        <x:v>2</x:v>
      </x:c>
      <x:c r="E21" s="16" t="n">
        <x:v>300000</x:v>
      </x:c>
      <x:c r="F21" s="17" t="str">
        <x:v>candidate</x:v>
      </x:c>
      <x:c r="G21" s="18" t="str">
        <x:v>最终策划案.md:201-215；4.5</x:v>
      </x:c>
      <x:c r="H21" s="18" t="str"/>
    </x:row>
    <x:row r="22" ht="15" hidden="0" customHeight="1">
      <x:c r="A22" s="19" t="n">
        <x:v>19</x:v>
      </x:c>
      <x:c r="B22" s="16" t="n">
        <x:v>18</x:v>
      </x:c>
      <x:c r="C22" s="16" t="n">
        <x:v>19</x:v>
      </x:c>
      <x:c r="D22" s="16" t="n">
        <x:v>2</x:v>
      </x:c>
      <x:c r="E22" s="16" t="n">
        <x:v>200000</x:v>
      </x:c>
      <x:c r="F22" s="17" t="str">
        <x:v>candidate</x:v>
      </x:c>
      <x:c r="G22" s="18" t="str">
        <x:v>最终策划案.md:201-215；4.5</x:v>
      </x:c>
      <x:c r="H22" s="18" t="str"/>
    </x:row>
    <x:row r="23" ht="15" hidden="0" customHeight="1">
      <x:c r="A23" s="19" t="n">
        <x:v>20</x:v>
      </x:c>
      <x:c r="B23" s="16" t="n">
        <x:v>19</x:v>
      </x:c>
      <x:c r="C23" s="16" t="n">
        <x:v>20</x:v>
      </x:c>
      <x:c r="D23" s="16" t="n">
        <x:v>2</x:v>
      </x:c>
      <x:c r="E23" s="16" t="n">
        <x:v>100000</x:v>
      </x:c>
      <x:c r="F23" s="17" t="str">
        <x:v>candidate</x:v>
      </x:c>
      <x:c r="G23" s="18" t="str">
        <x:v>最终策划案.md:201-215；4.5</x:v>
      </x:c>
      <x:c r="H23" s="18" t="str"/>
    </x:row>
    <x:row r="24" ht="15" hidden="0" customHeight="1">
      <x:c r="A24" s="19" t="n">
        <x:v>21</x:v>
      </x:c>
      <x:c r="B24" s="16" t="n">
        <x:v>20</x:v>
      </x:c>
      <x:c r="C24" s="16" t="n">
        <x:v>21</x:v>
      </x:c>
      <x:c r="D24" s="16" t="n">
        <x:v>3</x:v>
      </x:c>
      <x:c r="E24" s="16" t="n">
        <x:v>1000000</x:v>
      </x:c>
      <x:c r="F24" s="17" t="str">
        <x:v>candidate</x:v>
      </x:c>
      <x:c r="G24" s="18" t="str">
        <x:v>最终策划案.md:201-215；4.5</x:v>
      </x:c>
      <x:c r="H24" s="18" t="str"/>
    </x:row>
    <x:row r="25" ht="15" hidden="0" customHeight="1">
      <x:c r="A25" s="19" t="n">
        <x:v>22</x:v>
      </x:c>
      <x:c r="B25" s="16" t="n">
        <x:v>21</x:v>
      </x:c>
      <x:c r="C25" s="16" t="n">
        <x:v>22</x:v>
      </x:c>
      <x:c r="D25" s="16" t="n">
        <x:v>3</x:v>
      </x:c>
      <x:c r="E25" s="16" t="n">
        <x:v>900000</x:v>
      </x:c>
      <x:c r="F25" s="17" t="str">
        <x:v>candidate</x:v>
      </x:c>
      <x:c r="G25" s="18" t="str">
        <x:v>最终策划案.md:201-215；4.5</x:v>
      </x:c>
      <x:c r="H25" s="18" t="str"/>
    </x:row>
    <x:row r="26" ht="15" hidden="0" customHeight="1">
      <x:c r="A26" s="19" t="n">
        <x:v>23</x:v>
      </x:c>
      <x:c r="B26" s="16" t="n">
        <x:v>22</x:v>
      </x:c>
      <x:c r="C26" s="16" t="n">
        <x:v>23</x:v>
      </x:c>
      <x:c r="D26" s="16" t="n">
        <x:v>3</x:v>
      </x:c>
      <x:c r="E26" s="16" t="n">
        <x:v>800000</x:v>
      </x:c>
      <x:c r="F26" s="17" t="str">
        <x:v>candidate</x:v>
      </x:c>
      <x:c r="G26" s="18" t="str">
        <x:v>最终策划案.md:201-215；4.5</x:v>
      </x:c>
      <x:c r="H26" s="18" t="str"/>
    </x:row>
    <x:row r="27" ht="15" hidden="0" customHeight="1">
      <x:c r="A27" s="19" t="n">
        <x:v>24</x:v>
      </x:c>
      <x:c r="B27" s="16" t="n">
        <x:v>23</x:v>
      </x:c>
      <x:c r="C27" s="16" t="n">
        <x:v>24</x:v>
      </x:c>
      <x:c r="D27" s="16" t="n">
        <x:v>3</x:v>
      </x:c>
      <x:c r="E27" s="16" t="n">
        <x:v>700000</x:v>
      </x:c>
      <x:c r="F27" s="17" t="str">
        <x:v>candidate</x:v>
      </x:c>
      <x:c r="G27" s="18" t="str">
        <x:v>最终策划案.md:201-215；4.5</x:v>
      </x:c>
      <x:c r="H27" s="18" t="str"/>
    </x:row>
    <x:row r="28" ht="15" hidden="0" customHeight="1">
      <x:c r="A28" s="19" t="n">
        <x:v>25</x:v>
      </x:c>
      <x:c r="B28" s="16" t="n">
        <x:v>24</x:v>
      </x:c>
      <x:c r="C28" s="16" t="n">
        <x:v>25</x:v>
      </x:c>
      <x:c r="D28" s="16" t="n">
        <x:v>3</x:v>
      </x:c>
      <x:c r="E28" s="16" t="n">
        <x:v>600000</x:v>
      </x:c>
      <x:c r="F28" s="17" t="str">
        <x:v>candidate</x:v>
      </x:c>
      <x:c r="G28" s="18" t="str">
        <x:v>最终策划案.md:201-215；4.5</x:v>
      </x:c>
      <x:c r="H28" s="18" t="str"/>
    </x:row>
    <x:row r="29" ht="15" hidden="0" customHeight="1">
      <x:c r="A29" s="19" t="n">
        <x:v>26</x:v>
      </x:c>
      <x:c r="B29" s="16" t="n">
        <x:v>25</x:v>
      </x:c>
      <x:c r="C29" s="16" t="n">
        <x:v>26</x:v>
      </x:c>
      <x:c r="D29" s="16" t="n">
        <x:v>3</x:v>
      </x:c>
      <x:c r="E29" s="16" t="n">
        <x:v>500000</x:v>
      </x:c>
      <x:c r="F29" s="17" t="str">
        <x:v>candidate</x:v>
      </x:c>
      <x:c r="G29" s="18" t="str">
        <x:v>最终策划案.md:201-215；4.5</x:v>
      </x:c>
      <x:c r="H29" s="18" t="str"/>
    </x:row>
    <x:row r="30" ht="15" hidden="0" customHeight="1">
      <x:c r="A30" s="19" t="n">
        <x:v>27</x:v>
      </x:c>
      <x:c r="B30" s="16" t="n">
        <x:v>26</x:v>
      </x:c>
      <x:c r="C30" s="16" t="n">
        <x:v>27</x:v>
      </x:c>
      <x:c r="D30" s="16" t="n">
        <x:v>3</x:v>
      </x:c>
      <x:c r="E30" s="16" t="n">
        <x:v>400000</x:v>
      </x:c>
      <x:c r="F30" s="17" t="str">
        <x:v>candidate</x:v>
      </x:c>
      <x:c r="G30" s="18" t="str">
        <x:v>最终策划案.md:201-215；4.5</x:v>
      </x:c>
      <x:c r="H30" s="18" t="str"/>
    </x:row>
    <x:row r="31" ht="15" hidden="0" customHeight="1">
      <x:c r="A31" s="19" t="n">
        <x:v>28</x:v>
      </x:c>
      <x:c r="B31" s="16" t="n">
        <x:v>27</x:v>
      </x:c>
      <x:c r="C31" s="16" t="n">
        <x:v>28</x:v>
      </x:c>
      <x:c r="D31" s="16" t="n">
        <x:v>3</x:v>
      </x:c>
      <x:c r="E31" s="16" t="n">
        <x:v>300000</x:v>
      </x:c>
      <x:c r="F31" s="17" t="str">
        <x:v>candidate</x:v>
      </x:c>
      <x:c r="G31" s="18" t="str">
        <x:v>最终策划案.md:201-215；4.5</x:v>
      </x:c>
      <x:c r="H31" s="18" t="str"/>
    </x:row>
    <x:row r="32" ht="15" hidden="0" customHeight="1">
      <x:c r="A32" s="19" t="n">
        <x:v>29</x:v>
      </x:c>
      <x:c r="B32" s="16" t="n">
        <x:v>28</x:v>
      </x:c>
      <x:c r="C32" s="16" t="n">
        <x:v>29</x:v>
      </x:c>
      <x:c r="D32" s="16" t="n">
        <x:v>3</x:v>
      </x:c>
      <x:c r="E32" s="16" t="n">
        <x:v>200000</x:v>
      </x:c>
      <x:c r="F32" s="17" t="str">
        <x:v>candidate</x:v>
      </x:c>
      <x:c r="G32" s="18" t="str">
        <x:v>最终策划案.md:201-215；4.5</x:v>
      </x:c>
      <x:c r="H32" s="18" t="str"/>
    </x:row>
    <x:row r="33" ht="15" hidden="0" customHeight="1">
      <x:c r="A33" s="19" t="n">
        <x:v>30</x:v>
      </x:c>
      <x:c r="B33" s="16" t="n">
        <x:v>29</x:v>
      </x:c>
      <x:c r="C33" s="16" t="n">
        <x:v>30</x:v>
      </x:c>
      <x:c r="D33" s="16" t="n">
        <x:v>3</x:v>
      </x:c>
      <x:c r="E33" s="16" t="n">
        <x:v>100000</x:v>
      </x:c>
      <x:c r="F33" s="17" t="str">
        <x:v>candidate</x:v>
      </x:c>
      <x:c r="G33" s="18" t="str">
        <x:v>最终策划案.md:201-215；4.5</x:v>
      </x:c>
      <x:c r="H33" s="18" t="str"/>
    </x:row>
    <x:row r="34" ht="15" hidden="0" customHeight="1">
      <x:c r="A34" s="19" t="n">
        <x:v>31</x:v>
      </x:c>
      <x:c r="B34" s="16" t="n">
        <x:v>30</x:v>
      </x:c>
      <x:c r="C34" s="16" t="n">
        <x:v>31</x:v>
      </x:c>
      <x:c r="D34" s="16" t="n">
        <x:v>4</x:v>
      </x:c>
      <x:c r="E34" s="16" t="n">
        <x:v>1000000</x:v>
      </x:c>
      <x:c r="F34" s="17" t="str">
        <x:v>candidate</x:v>
      </x:c>
      <x:c r="G34" s="18" t="str">
        <x:v>最终策划案.md:201-215；4.5</x:v>
      </x:c>
      <x:c r="H34" s="18" t="str"/>
    </x:row>
    <x:row r="35" ht="15" hidden="0" customHeight="1">
      <x:c r="A35" s="19" t="n">
        <x:v>32</x:v>
      </x:c>
      <x:c r="B35" s="16" t="n">
        <x:v>31</x:v>
      </x:c>
      <x:c r="C35" s="16" t="n">
        <x:v>32</x:v>
      </x:c>
      <x:c r="D35" s="16" t="n">
        <x:v>4</x:v>
      </x:c>
      <x:c r="E35" s="16" t="n">
        <x:v>900000</x:v>
      </x:c>
      <x:c r="F35" s="17" t="str">
        <x:v>candidate</x:v>
      </x:c>
      <x:c r="G35" s="18" t="str">
        <x:v>最终策划案.md:201-215；4.5</x:v>
      </x:c>
      <x:c r="H35" s="18" t="str"/>
    </x:row>
    <x:row r="36" ht="15" hidden="0" customHeight="1">
      <x:c r="A36" s="19" t="n">
        <x:v>33</x:v>
      </x:c>
      <x:c r="B36" s="16" t="n">
        <x:v>32</x:v>
      </x:c>
      <x:c r="C36" s="16" t="n">
        <x:v>33</x:v>
      </x:c>
      <x:c r="D36" s="16" t="n">
        <x:v>4</x:v>
      </x:c>
      <x:c r="E36" s="16" t="n">
        <x:v>800000</x:v>
      </x:c>
      <x:c r="F36" s="17" t="str">
        <x:v>candidate</x:v>
      </x:c>
      <x:c r="G36" s="18" t="str">
        <x:v>最终策划案.md:201-215；4.5</x:v>
      </x:c>
      <x:c r="H36" s="18" t="str"/>
    </x:row>
    <x:row r="37" ht="15" hidden="0" customHeight="1">
      <x:c r="A37" s="19" t="n">
        <x:v>34</x:v>
      </x:c>
      <x:c r="B37" s="16" t="n">
        <x:v>33</x:v>
      </x:c>
      <x:c r="C37" s="16" t="n">
        <x:v>34</x:v>
      </x:c>
      <x:c r="D37" s="16" t="n">
        <x:v>4</x:v>
      </x:c>
      <x:c r="E37" s="16" t="n">
        <x:v>700000</x:v>
      </x:c>
      <x:c r="F37" s="17" t="str">
        <x:v>candidate</x:v>
      </x:c>
      <x:c r="G37" s="18" t="str">
        <x:v>最终策划案.md:201-215；4.5</x:v>
      </x:c>
      <x:c r="H37" s="18" t="str"/>
    </x:row>
    <x:row r="38" ht="15" hidden="0" customHeight="1">
      <x:c r="A38" s="19" t="n">
        <x:v>35</x:v>
      </x:c>
      <x:c r="B38" s="16" t="n">
        <x:v>34</x:v>
      </x:c>
      <x:c r="C38" s="16" t="n">
        <x:v>35</x:v>
      </x:c>
      <x:c r="D38" s="16" t="n">
        <x:v>4</x:v>
      </x:c>
      <x:c r="E38" s="16" t="n">
        <x:v>600000</x:v>
      </x:c>
      <x:c r="F38" s="17" t="str">
        <x:v>candidate</x:v>
      </x:c>
      <x:c r="G38" s="18" t="str">
        <x:v>最终策划案.md:201-215；4.5</x:v>
      </x:c>
      <x:c r="H38" s="18" t="str"/>
    </x:row>
    <x:row r="39" ht="15" hidden="0" customHeight="1">
      <x:c r="A39" s="19" t="n">
        <x:v>36</x:v>
      </x:c>
      <x:c r="B39" s="16" t="n">
        <x:v>35</x:v>
      </x:c>
      <x:c r="C39" s="16" t="n">
        <x:v>36</x:v>
      </x:c>
      <x:c r="D39" s="16" t="n">
        <x:v>4</x:v>
      </x:c>
      <x:c r="E39" s="16" t="n">
        <x:v>500000</x:v>
      </x:c>
      <x:c r="F39" s="17" t="str">
        <x:v>candidate</x:v>
      </x:c>
      <x:c r="G39" s="18" t="str">
        <x:v>最终策划案.md:201-215；4.5</x:v>
      </x:c>
      <x:c r="H39" s="18" t="str"/>
    </x:row>
    <x:row r="40" ht="15" hidden="0" customHeight="1">
      <x:c r="A40" s="19" t="n">
        <x:v>37</x:v>
      </x:c>
      <x:c r="B40" s="16" t="n">
        <x:v>36</x:v>
      </x:c>
      <x:c r="C40" s="16" t="n">
        <x:v>37</x:v>
      </x:c>
      <x:c r="D40" s="16" t="n">
        <x:v>4</x:v>
      </x:c>
      <x:c r="E40" s="16" t="n">
        <x:v>400000</x:v>
      </x:c>
      <x:c r="F40" s="17" t="str">
        <x:v>candidate</x:v>
      </x:c>
      <x:c r="G40" s="18" t="str">
        <x:v>最终策划案.md:201-215；4.5</x:v>
      </x:c>
      <x:c r="H40" s="18" t="str"/>
    </x:row>
    <x:row r="41" ht="15" hidden="0" customHeight="1">
      <x:c r="A41" s="19" t="n">
        <x:v>38</x:v>
      </x:c>
      <x:c r="B41" s="16" t="n">
        <x:v>37</x:v>
      </x:c>
      <x:c r="C41" s="16" t="n">
        <x:v>38</x:v>
      </x:c>
      <x:c r="D41" s="16" t="n">
        <x:v>4</x:v>
      </x:c>
      <x:c r="E41" s="16" t="n">
        <x:v>300000</x:v>
      </x:c>
      <x:c r="F41" s="17" t="str">
        <x:v>candidate</x:v>
      </x:c>
      <x:c r="G41" s="18" t="str">
        <x:v>最终策划案.md:201-215；4.5</x:v>
      </x:c>
      <x:c r="H41" s="18" t="str"/>
    </x:row>
    <x:row r="42" ht="15" hidden="0" customHeight="1">
      <x:c r="A42" s="19" t="n">
        <x:v>39</x:v>
      </x:c>
      <x:c r="B42" s="16" t="n">
        <x:v>38</x:v>
      </x:c>
      <x:c r="C42" s="16" t="n">
        <x:v>39</x:v>
      </x:c>
      <x:c r="D42" s="16" t="n">
        <x:v>4</x:v>
      </x:c>
      <x:c r="E42" s="16" t="n">
        <x:v>200000</x:v>
      </x:c>
      <x:c r="F42" s="17" t="str">
        <x:v>candidate</x:v>
      </x:c>
      <x:c r="G42" s="18" t="str">
        <x:v>最终策划案.md:201-215；4.5</x:v>
      </x:c>
      <x:c r="H42" s="18" t="str"/>
    </x:row>
    <x:row r="43" ht="15" hidden="0" customHeight="1">
      <x:c r="A43" s="19" t="n">
        <x:v>40</x:v>
      </x:c>
      <x:c r="B43" s="16" t="n">
        <x:v>39</x:v>
      </x:c>
      <x:c r="C43" s="16" t="n">
        <x:v>40</x:v>
      </x:c>
      <x:c r="D43" s="16" t="n">
        <x:v>4</x:v>
      </x:c>
      <x:c r="E43" s="16" t="n">
        <x:v>100000</x:v>
      </x:c>
      <x:c r="F43" s="17" t="str">
        <x:v>candidate</x:v>
      </x:c>
      <x:c r="G43" s="18" t="str">
        <x:v>最终策划案.md:201-215；4.5</x:v>
      </x:c>
      <x:c r="H43" s="18" t="str"/>
    </x:row>
    <x:row r="44" ht="15" hidden="0" customHeight="1">
      <x:c r="A44" s="19" t="n">
        <x:v>41</x:v>
      </x:c>
      <x:c r="B44" s="16" t="n">
        <x:v>40</x:v>
      </x:c>
      <x:c r="C44" s="16" t="n">
        <x:v>41</x:v>
      </x:c>
      <x:c r="D44" s="16" t="n">
        <x:v>5</x:v>
      </x:c>
      <x:c r="E44" s="16" t="n">
        <x:v>1000000</x:v>
      </x:c>
      <x:c r="F44" s="17" t="str">
        <x:v>candidate</x:v>
      </x:c>
      <x:c r="G44" s="18" t="str">
        <x:v>最终策划案.md:201-215；4.5</x:v>
      </x:c>
      <x:c r="H44" s="18" t="str"/>
    </x:row>
    <x:row r="45" ht="15" hidden="0" customHeight="1">
      <x:c r="A45" s="19" t="n">
        <x:v>42</x:v>
      </x:c>
      <x:c r="B45" s="16" t="n">
        <x:v>41</x:v>
      </x:c>
      <x:c r="C45" s="16" t="n">
        <x:v>42</x:v>
      </x:c>
      <x:c r="D45" s="16" t="n">
        <x:v>5</x:v>
      </x:c>
      <x:c r="E45" s="16" t="n">
        <x:v>900000</x:v>
      </x:c>
      <x:c r="F45" s="17" t="str">
        <x:v>candidate</x:v>
      </x:c>
      <x:c r="G45" s="18" t="str">
        <x:v>最终策划案.md:201-215；4.5</x:v>
      </x:c>
      <x:c r="H45" s="18" t="str"/>
    </x:row>
    <x:row r="46" ht="15" hidden="0" customHeight="1">
      <x:c r="A46" s="19" t="n">
        <x:v>43</x:v>
      </x:c>
      <x:c r="B46" s="16" t="n">
        <x:v>42</x:v>
      </x:c>
      <x:c r="C46" s="16" t="n">
        <x:v>43</x:v>
      </x:c>
      <x:c r="D46" s="16" t="n">
        <x:v>5</x:v>
      </x:c>
      <x:c r="E46" s="16" t="n">
        <x:v>800000</x:v>
      </x:c>
      <x:c r="F46" s="17" t="str">
        <x:v>candidate</x:v>
      </x:c>
      <x:c r="G46" s="18" t="str">
        <x:v>最终策划案.md:201-215；4.5</x:v>
      </x:c>
      <x:c r="H46" s="18" t="str"/>
    </x:row>
    <x:row r="47" ht="15" hidden="0" customHeight="1">
      <x:c r="A47" s="19" t="n">
        <x:v>44</x:v>
      </x:c>
      <x:c r="B47" s="16" t="n">
        <x:v>43</x:v>
      </x:c>
      <x:c r="C47" s="16" t="n">
        <x:v>44</x:v>
      </x:c>
      <x:c r="D47" s="16" t="n">
        <x:v>5</x:v>
      </x:c>
      <x:c r="E47" s="16" t="n">
        <x:v>700000</x:v>
      </x:c>
      <x:c r="F47" s="17" t="str">
        <x:v>candidate</x:v>
      </x:c>
      <x:c r="G47" s="18" t="str">
        <x:v>最终策划案.md:201-215；4.5</x:v>
      </x:c>
      <x:c r="H47" s="18" t="str"/>
    </x:row>
    <x:row r="48" ht="15" hidden="0" customHeight="1">
      <x:c r="A48" s="19" t="n">
        <x:v>45</x:v>
      </x:c>
      <x:c r="B48" s="16" t="n">
        <x:v>44</x:v>
      </x:c>
      <x:c r="C48" s="16" t="n">
        <x:v>45</x:v>
      </x:c>
      <x:c r="D48" s="16" t="n">
        <x:v>5</x:v>
      </x:c>
      <x:c r="E48" s="16" t="n">
        <x:v>600000</x:v>
      </x:c>
      <x:c r="F48" s="17" t="str">
        <x:v>candidate</x:v>
      </x:c>
      <x:c r="G48" s="18" t="str">
        <x:v>最终策划案.md:201-215；4.5</x:v>
      </x:c>
      <x:c r="H48" s="18" t="str"/>
    </x:row>
    <x:row r="49" ht="15" hidden="0" customHeight="1">
      <x:c r="A49" s="19" t="n">
        <x:v>46</x:v>
      </x:c>
      <x:c r="B49" s="16" t="n">
        <x:v>45</x:v>
      </x:c>
      <x:c r="C49" s="16" t="n">
        <x:v>46</x:v>
      </x:c>
      <x:c r="D49" s="16" t="n">
        <x:v>5</x:v>
      </x:c>
      <x:c r="E49" s="16" t="n">
        <x:v>500000</x:v>
      </x:c>
      <x:c r="F49" s="17" t="str">
        <x:v>candidate</x:v>
      </x:c>
      <x:c r="G49" s="18" t="str">
        <x:v>最终策划案.md:201-215；4.5</x:v>
      </x:c>
      <x:c r="H49" s="18" t="str"/>
    </x:row>
    <x:row r="50" ht="15" hidden="0" customHeight="1">
      <x:c r="A50" s="19" t="n">
        <x:v>47</x:v>
      </x:c>
      <x:c r="B50" s="16" t="n">
        <x:v>46</x:v>
      </x:c>
      <x:c r="C50" s="16" t="n">
        <x:v>47</x:v>
      </x:c>
      <x:c r="D50" s="16" t="n">
        <x:v>5</x:v>
      </x:c>
      <x:c r="E50" s="16" t="n">
        <x:v>400000</x:v>
      </x:c>
      <x:c r="F50" s="17" t="str">
        <x:v>candidate</x:v>
      </x:c>
      <x:c r="G50" s="18" t="str">
        <x:v>最终策划案.md:201-215；4.5</x:v>
      </x:c>
      <x:c r="H50" s="18" t="str"/>
    </x:row>
    <x:row r="51" ht="15" hidden="0" customHeight="1">
      <x:c r="A51" s="19" t="n">
        <x:v>48</x:v>
      </x:c>
      <x:c r="B51" s="16" t="n">
        <x:v>47</x:v>
      </x:c>
      <x:c r="C51" s="16" t="n">
        <x:v>48</x:v>
      </x:c>
      <x:c r="D51" s="16" t="n">
        <x:v>5</x:v>
      </x:c>
      <x:c r="E51" s="16" t="n">
        <x:v>300000</x:v>
      </x:c>
      <x:c r="F51" s="17" t="str">
        <x:v>candidate</x:v>
      </x:c>
      <x:c r="G51" s="18" t="str">
        <x:v>最终策划案.md:201-215；4.5</x:v>
      </x:c>
      <x:c r="H51" s="18" t="str"/>
    </x:row>
    <x:row r="52" ht="15" hidden="0" customHeight="1">
      <x:c r="A52" s="19" t="n">
        <x:v>49</x:v>
      </x:c>
      <x:c r="B52" s="16" t="n">
        <x:v>48</x:v>
      </x:c>
      <x:c r="C52" s="16" t="n">
        <x:v>49</x:v>
      </x:c>
      <x:c r="D52" s="16" t="n">
        <x:v>5</x:v>
      </x:c>
      <x:c r="E52" s="16" t="n">
        <x:v>200000</x:v>
      </x:c>
      <x:c r="F52" s="17" t="str">
        <x:v>candidate</x:v>
      </x:c>
      <x:c r="G52" s="18" t="str">
        <x:v>最终策划案.md:201-215；4.5</x:v>
      </x:c>
      <x:c r="H52" s="18" t="str"/>
    </x:row>
    <x:row r="53" ht="15" hidden="0" customHeight="1">
      <x:c r="A53" s="19" t="n">
        <x:v>50</x:v>
      </x:c>
      <x:c r="B53" s="16" t="n">
        <x:v>49</x:v>
      </x:c>
      <x:c r="C53" s="16" t="n">
        <x:v>50</x:v>
      </x:c>
      <x:c r="D53" s="16" t="n">
        <x:v>5</x:v>
      </x:c>
      <x:c r="E53" s="16" t="n">
        <x:v>100000</x:v>
      </x:c>
      <x:c r="F53" s="17" t="str">
        <x:v>candidate</x:v>
      </x:c>
      <x:c r="G53" s="18" t="str">
        <x:v>最终策划案.md:201-215；4.5</x:v>
      </x:c>
      <x:c r="H53" s="18" t="str"/>
    </x:row>
  </x:sheetData>
  <x:conditionalFormatting sqref="A4:A1003">
    <x:cfRule type="expression" dxfId="160" priority="1">
      <x:formula>AND($A4&lt;&gt;"",ISBLANK(A4))</x:formula>
    </x:cfRule>
  </x:conditionalFormatting>
  <x:conditionalFormatting sqref="B4:B1003">
    <x:cfRule type="expression" dxfId="161" priority="2">
      <x:formula>AND($A4&lt;&gt;"",ISBLANK(B4))</x:formula>
    </x:cfRule>
  </x:conditionalFormatting>
  <x:conditionalFormatting sqref="C4:C1003">
    <x:cfRule type="expression" dxfId="162" priority="3">
      <x:formula>AND($A4&lt;&gt;"",ISBLANK(C4))</x:formula>
    </x:cfRule>
  </x:conditionalFormatting>
  <x:conditionalFormatting sqref="D4:D1003">
    <x:cfRule type="expression" dxfId="163" priority="4">
      <x:formula>AND($A4&lt;&gt;"",ISBLANK(D4))</x:formula>
    </x:cfRule>
  </x:conditionalFormatting>
  <x:conditionalFormatting sqref="E4:E1003">
    <x:cfRule type="expression" dxfId="164" priority="5">
      <x:formula>AND($A4&lt;&gt;"",ISBLANK(E4))</x:formula>
    </x:cfRule>
  </x:conditionalFormatting>
  <x:conditionalFormatting sqref="F4:F1003">
    <x:cfRule type="containsText" dxfId="165" priority="6" operator="containsText" text="candidate"/>
    <x:cfRule type="containsText" dxfId="166" priority="7" operator="containsText" text="unverified"/>
    <x:cfRule type="containsText" dxfId="167" priority="8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21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产装来源</x:v>
      </x:c>
      <x:c r="C1" s="7" t="str">
        <x:v>独立幸运触发率</x:v>
      </x:c>
      <x:c r="D1" s="7" t="str">
        <x:v>触发后幸运权重</x:v>
      </x:c>
      <x:c r="E1" s="7" t="str">
        <x:v>固定初始值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source_key</x:v>
      </x:c>
      <x:c r="C2" s="12" t="str">
        <x:v>trigger_ppm</x:v>
      </x:c>
      <x:c r="D2" s="12" t="str">
        <x:v>initial_value_weights</x:v>
      </x:c>
      <x:c r="E2" s="12" t="str">
        <x:v>fixed_initial_value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百万分率 / both</x:v>
      </x:c>
      <x:c r="D3" s="15" t="str">
        <x:v>json / 必填 / both</x:v>
      </x:c>
      <x:c r="E3" s="15" t="str">
        <x:v>int / 可空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 t="n">
        <x:v>1</x:v>
      </x:c>
      <x:c r="B4" s="17" t="str">
        <x:v>equipment_drop</x:v>
      </x:c>
      <x:c r="C4" s="16" t="n">
        <x:v>10000</x:v>
      </x:c>
      <x:c r="D4" s="17" t="str">
        <x:v>{"1":1,"2":1,"3":1}</x:v>
      </x:c>
      <x:c r="E4" s="16"/>
      <x:c r="F4" s="17" t="str">
        <x:v>candidate</x:v>
      </x:c>
      <x:c r="G4" s="18" t="str">
        <x:v>最终策划案.md:223-225；4.6</x:v>
      </x:c>
      <x:c r="H4" s="18" t="str">
        <x:v>1%已定，触发后各1/3为首测补充权重。</x:v>
      </x:c>
    </x:row>
    <x:row r="5" ht="15" hidden="0" customHeight="1">
      <x:c r="A5" s="19" t="n">
        <x:v>2</x:v>
      </x:c>
      <x:c r="B5" s="17" t="str">
        <x:v>craft_success</x:v>
      </x:c>
      <x:c r="C5" s="16" t="n">
        <x:v>150000</x:v>
      </x:c>
      <x:c r="D5" s="17" t="str">
        <x:v>{"1":1,"2":1,"3":1}</x:v>
      </x:c>
      <x:c r="E5" s="16"/>
      <x:c r="F5" s="17" t="str">
        <x:v>candidate</x:v>
      </x:c>
      <x:c r="G5" s="18" t="str">
        <x:v>最终策划案.md:223-225；4.6</x:v>
      </x:c>
      <x:c r="H5" s="18" t="str">
        <x:v>15%已定，仅打造成功后独立判定，条件权重候选。</x:v>
      </x:c>
    </x:row>
    <x:row r="6" ht="15" hidden="0" customHeight="1">
      <x:c r="A6" s="19" t="n">
        <x:v>3</x:v>
      </x:c>
      <x:c r="B6" s="17" t="str">
        <x:v>wing_activate</x:v>
      </x:c>
      <x:c r="C6" s="16" t="n">
        <x:v>0</x:v>
      </x:c>
      <x:c r="D6" s="17" t="str">
        <x:v>{}</x:v>
      </x:c>
      <x:c r="E6" s="16" t="n">
        <x:v>0</x:v>
      </x:c>
      <x:c r="F6" s="17" t="str">
        <x:v>confirmed</x:v>
      </x:c>
      <x:c r="G6" s="18" t="str">
        <x:v>最终策划案.md:223-225；4.6</x:v>
      </x:c>
      <x:c r="H6" s="18" t="str"/>
    </x:row>
    <x:row r="7" ht="15" hidden="0" customHeight="1">
      <x:c r="A7" s="19"/>
      <x:c r="B7" s="17"/>
      <x:c r="C7" s="16"/>
      <x:c r="D7" s="17"/>
      <x:c r="E7" s="16"/>
      <x:c r="F7" s="17"/>
      <x:c r="G7" s="18"/>
      <x:c r="H7" s="18"/>
    </x:row>
    <x:row r="8" ht="15" hidden="0" customHeight="1">
      <x:c r="A8" s="19"/>
      <x:c r="B8" s="17"/>
      <x:c r="C8" s="16"/>
      <x:c r="D8" s="17"/>
      <x:c r="E8" s="16"/>
      <x:c r="F8" s="17"/>
      <x:c r="G8" s="18"/>
      <x:c r="H8" s="18"/>
    </x:row>
    <x:row r="9" ht="15" hidden="0" customHeight="1">
      <x:c r="A9" s="19"/>
      <x:c r="B9" s="17"/>
      <x:c r="C9" s="16"/>
      <x:c r="D9" s="17"/>
      <x:c r="E9" s="16"/>
      <x:c r="F9" s="17"/>
      <x:c r="G9" s="18"/>
      <x:c r="H9" s="18"/>
    </x:row>
  </x:sheetData>
  <x:conditionalFormatting sqref="A4:A1003">
    <x:cfRule type="expression" dxfId="168" priority="1">
      <x:formula>AND($A4&lt;&gt;"",ISBLANK(A4))</x:formula>
    </x:cfRule>
  </x:conditionalFormatting>
  <x:conditionalFormatting sqref="B4:B1003">
    <x:cfRule type="expression" dxfId="169" priority="2">
      <x:formula>AND($A4&lt;&gt;"",ISBLANK(B4))</x:formula>
    </x:cfRule>
  </x:conditionalFormatting>
  <x:conditionalFormatting sqref="C4:C1003">
    <x:cfRule type="expression" dxfId="170" priority="3">
      <x:formula>AND($A4&lt;&gt;"",ISBLANK(C4))</x:formula>
    </x:cfRule>
  </x:conditionalFormatting>
  <x:conditionalFormatting sqref="D4:D1003">
    <x:cfRule type="expression" dxfId="171" priority="4">
      <x:formula>AND($A4&lt;&gt;"",ISBLANK(D4))</x:formula>
    </x:cfRule>
  </x:conditionalFormatting>
  <x:conditionalFormatting sqref="F4:F1003">
    <x:cfRule type="containsText" dxfId="172" priority="5" operator="containsText" text="candidate"/>
    <x:cfRule type="containsText" dxfId="173" priority="6" operator="containsText" text="unverified"/>
    <x:cfRule type="containsText" dxfId="174" priority="7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9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当前幸运</x:v>
      </x:c>
      <x:c r="C1" s="7" t="str">
        <x:v>成功后幸运</x:v>
      </x:c>
      <x:c r="D1" s="7" t="str">
        <x:v>基础成功率</x:v>
      </x:c>
      <x:c r="E1" s="7" t="str">
        <x:v>失败后幸运</x:v>
      </x:c>
      <x:c r="F1" s="7" t="str">
        <x:v>保底段</x:v>
      </x:c>
      <x:c r="G1" s="7" t="str">
        <x:v>累计瓶数阈值</x:v>
      </x:c>
      <x:c r="H1" s="7" t="str">
        <x:v>阈值下一瓶起必成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from_luck</x:v>
      </x:c>
      <x:c r="C2" s="12" t="str">
        <x:v>target_luck</x:v>
      </x:c>
      <x:c r="D2" s="12" t="str">
        <x:v>success_ppm</x:v>
      </x:c>
      <x:c r="E2" s="12" t="str">
        <x:v>failure_luck</x:v>
      </x:c>
      <x:c r="F2" s="12" t="str">
        <x:v>pity_segment</x:v>
      </x:c>
      <x:c r="G2" s="12" t="str">
        <x:v>threshold_used_bottles</x:v>
      </x:c>
      <x:c r="H2" s="12" t="str">
        <x:v>pity_starts_after_threshold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百万分率 / both</x:v>
      </x:c>
      <x:c r="E3" s="15" t="str">
        <x:v>int / 必填 / both</x:v>
      </x:c>
      <x:c r="F3" s="15" t="str">
        <x:v>string / 必填 / both</x:v>
      </x:c>
      <x:c r="G3" s="15" t="str">
        <x:v>int / 可空 / both</x:v>
      </x:c>
      <x:c r="H3" s="15" t="str">
        <x:v>bool / 必填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 t="n">
        <x:v>1</x:v>
      </x:c>
      <x:c r="B4" s="16" t="n">
        <x:v>0</x:v>
      </x:c>
      <x:c r="C4" s="16" t="n">
        <x:v>1</x:v>
      </x:c>
      <x:c r="D4" s="16" t="n">
        <x:v>1000000</x:v>
      </x:c>
      <x:c r="E4" s="16" t="n">
        <x:v>0</x:v>
      </x:c>
      <x:c r="F4" s="17" t="str">
        <x:v>none</x:v>
      </x:c>
      <x:c r="G4" s="16"/>
      <x:c r="H4" s="9" t="b">
        <x:v>1</x:v>
      </x:c>
      <x:c r="I4" s="17" t="str">
        <x:v>confirmed</x:v>
      </x:c>
      <x:c r="J4" s="18" t="str">
        <x:v>最终策划案.md:227-235；4.6</x:v>
      </x:c>
      <x:c r="K4" s="18" t="str"/>
    </x:row>
    <x:row r="5" ht="15" hidden="0" customHeight="1">
      <x:c r="A5" s="19" t="n">
        <x:v>2</x:v>
      </x:c>
      <x:c r="B5" s="16" t="n">
        <x:v>1</x:v>
      </x:c>
      <x:c r="C5" s="16" t="n">
        <x:v>2</x:v>
      </x:c>
      <x:c r="D5" s="16" t="n">
        <x:v>800000</x:v>
      </x:c>
      <x:c r="E5" s="16" t="n">
        <x:v>1</x:v>
      </x:c>
      <x:c r="F5" s="17" t="str">
        <x:v>none</x:v>
      </x:c>
      <x:c r="G5" s="16"/>
      <x:c r="H5" s="9" t="b">
        <x:v>1</x:v>
      </x:c>
      <x:c r="I5" s="17" t="str">
        <x:v>confirmed</x:v>
      </x:c>
      <x:c r="J5" s="18" t="str">
        <x:v>最终策划案.md:227-235；4.6</x:v>
      </x:c>
      <x:c r="K5" s="18" t="str"/>
    </x:row>
    <x:row r="6" ht="15" hidden="0" customHeight="1">
      <x:c r="A6" s="19" t="n">
        <x:v>3</x:v>
      </x:c>
      <x:c r="B6" s="16" t="n">
        <x:v>2</x:v>
      </x:c>
      <x:c r="C6" s="16" t="n">
        <x:v>3</x:v>
      </x:c>
      <x:c r="D6" s="16" t="n">
        <x:v>600000</x:v>
      </x:c>
      <x:c r="E6" s="16" t="n">
        <x:v>2</x:v>
      </x:c>
      <x:c r="F6" s="17" t="str">
        <x:v>none</x:v>
      </x:c>
      <x:c r="G6" s="16"/>
      <x:c r="H6" s="9" t="b">
        <x:v>1</x:v>
      </x:c>
      <x:c r="I6" s="17" t="str">
        <x:v>confirmed</x:v>
      </x:c>
      <x:c r="J6" s="18" t="str">
        <x:v>最终策划案.md:227-235；4.6</x:v>
      </x:c>
      <x:c r="K6" s="18" t="str"/>
    </x:row>
    <x:row r="7" ht="15" hidden="0" customHeight="1">
      <x:c r="A7" s="19" t="n">
        <x:v>4</x:v>
      </x:c>
      <x:c r="B7" s="16" t="n">
        <x:v>3</x:v>
      </x:c>
      <x:c r="C7" s="16" t="n">
        <x:v>4</x:v>
      </x:c>
      <x:c r="D7" s="16" t="n">
        <x:v>400000</x:v>
      </x:c>
      <x:c r="E7" s="16" t="n">
        <x:v>3</x:v>
      </x:c>
      <x:c r="F7" s="17" t="str">
        <x:v>3_to_6</x:v>
      </x:c>
      <x:c r="G7" s="16" t="n">
        <x:v>100</x:v>
      </x:c>
      <x:c r="H7" s="9" t="b">
        <x:v>1</x:v>
      </x:c>
      <x:c r="I7" s="17" t="str">
        <x:v>confirmed</x:v>
      </x:c>
      <x:c r="J7" s="18" t="str">
        <x:v>最终策划案.md:227-235；4.6</x:v>
      </x:c>
      <x:c r="K7" s="18" t="str"/>
    </x:row>
    <x:row r="8" ht="15" hidden="0" customHeight="1">
      <x:c r="A8" s="19" t="n">
        <x:v>5</x:v>
      </x:c>
      <x:c r="B8" s="16" t="n">
        <x:v>4</x:v>
      </x:c>
      <x:c r="C8" s="16" t="n">
        <x:v>5</x:v>
      </x:c>
      <x:c r="D8" s="16" t="n">
        <x:v>300000</x:v>
      </x:c>
      <x:c r="E8" s="16" t="n">
        <x:v>3</x:v>
      </x:c>
      <x:c r="F8" s="17" t="str">
        <x:v>3_to_6</x:v>
      </x:c>
      <x:c r="G8" s="16" t="n">
        <x:v>100</x:v>
      </x:c>
      <x:c r="H8" s="9" t="b">
        <x:v>1</x:v>
      </x:c>
      <x:c r="I8" s="17" t="str">
        <x:v>confirmed</x:v>
      </x:c>
      <x:c r="J8" s="18" t="str">
        <x:v>最终策划案.md:227-235；4.6</x:v>
      </x:c>
      <x:c r="K8" s="18" t="str"/>
    </x:row>
    <x:row r="9" ht="15" hidden="0" customHeight="1">
      <x:c r="A9" s="19" t="n">
        <x:v>6</x:v>
      </x:c>
      <x:c r="B9" s="16" t="n">
        <x:v>5</x:v>
      </x:c>
      <x:c r="C9" s="16" t="n">
        <x:v>6</x:v>
      </x:c>
      <x:c r="D9" s="16" t="n">
        <x:v>200000</x:v>
      </x:c>
      <x:c r="E9" s="16" t="n">
        <x:v>3</x:v>
      </x:c>
      <x:c r="F9" s="17" t="str">
        <x:v>3_to_6</x:v>
      </x:c>
      <x:c r="G9" s="16" t="n">
        <x:v>100</x:v>
      </x:c>
      <x:c r="H9" s="9" t="b">
        <x:v>1</x:v>
      </x:c>
      <x:c r="I9" s="17" t="str">
        <x:v>confirmed</x:v>
      </x:c>
      <x:c r="J9" s="18" t="str">
        <x:v>最终策划案.md:227-235；4.6</x:v>
      </x:c>
      <x:c r="K9" s="18" t="str"/>
    </x:row>
    <x:row r="10" ht="15" hidden="0" customHeight="1">
      <x:c r="A10" s="19" t="n">
        <x:v>7</x:v>
      </x:c>
      <x:c r="B10" s="16" t="n">
        <x:v>6</x:v>
      </x:c>
      <x:c r="C10" s="16" t="n">
        <x:v>7</x:v>
      </x:c>
      <x:c r="D10" s="16" t="n">
        <x:v>100000</x:v>
      </x:c>
      <x:c r="E10" s="16" t="n">
        <x:v>6</x:v>
      </x:c>
      <x:c r="F10" s="17" t="str">
        <x:v>6_to_9</x:v>
      </x:c>
      <x:c r="G10" s="16" t="n">
        <x:v>3000</x:v>
      </x:c>
      <x:c r="H10" s="9" t="b">
        <x:v>1</x:v>
      </x:c>
      <x:c r="I10" s="17" t="str">
        <x:v>confirmed</x:v>
      </x:c>
      <x:c r="J10" s="18" t="str">
        <x:v>最终策划案.md:227-235；4.6</x:v>
      </x:c>
      <x:c r="K10" s="18" t="str"/>
    </x:row>
    <x:row r="11" ht="15" hidden="0" customHeight="1">
      <x:c r="A11" s="19" t="n">
        <x:v>8</x:v>
      </x:c>
      <x:c r="B11" s="16" t="n">
        <x:v>7</x:v>
      </x:c>
      <x:c r="C11" s="16" t="n">
        <x:v>8</x:v>
      </x:c>
      <x:c r="D11" s="16" t="n">
        <x:v>70000</x:v>
      </x:c>
      <x:c r="E11" s="16" t="n">
        <x:v>6</x:v>
      </x:c>
      <x:c r="F11" s="17" t="str">
        <x:v>6_to_9</x:v>
      </x:c>
      <x:c r="G11" s="16" t="n">
        <x:v>3000</x:v>
      </x:c>
      <x:c r="H11" s="9" t="b">
        <x:v>1</x:v>
      </x:c>
      <x:c r="I11" s="17" t="str">
        <x:v>confirmed</x:v>
      </x:c>
      <x:c r="J11" s="18" t="str">
        <x:v>最终策划案.md:227-235；4.6</x:v>
      </x:c>
      <x:c r="K11" s="18" t="str"/>
    </x:row>
    <x:row r="12" ht="15" hidden="0" customHeight="1">
      <x:c r="A12" s="19" t="n">
        <x:v>9</x:v>
      </x:c>
      <x:c r="B12" s="16" t="n">
        <x:v>8</x:v>
      </x:c>
      <x:c r="C12" s="16" t="n">
        <x:v>9</x:v>
      </x:c>
      <x:c r="D12" s="16" t="n">
        <x:v>50000</x:v>
      </x:c>
      <x:c r="E12" s="16" t="n">
        <x:v>6</x:v>
      </x:c>
      <x:c r="F12" s="17" t="str">
        <x:v>6_to_9</x:v>
      </x:c>
      <x:c r="G12" s="16" t="n">
        <x:v>3000</x:v>
      </x:c>
      <x:c r="H12" s="9" t="b">
        <x:v>1</x:v>
      </x:c>
      <x:c r="I12" s="17" t="str">
        <x:v>confirmed</x:v>
      </x:c>
      <x:c r="J12" s="18" t="str">
        <x:v>最终策划案.md:227-235；4.6</x:v>
      </x:c>
      <x:c r="K12" s="18" t="str"/>
    </x:row>
  </x:sheetData>
  <x:conditionalFormatting sqref="A4:A1003">
    <x:cfRule type="expression" dxfId="175" priority="1">
      <x:formula>AND($A4&lt;&gt;"",ISBLANK(A4))</x:formula>
    </x:cfRule>
  </x:conditionalFormatting>
  <x:conditionalFormatting sqref="B4:B1003">
    <x:cfRule type="expression" dxfId="176" priority="2">
      <x:formula>AND($A4&lt;&gt;"",ISBLANK(B4))</x:formula>
    </x:cfRule>
  </x:conditionalFormatting>
  <x:conditionalFormatting sqref="C4:C1003">
    <x:cfRule type="expression" dxfId="177" priority="3">
      <x:formula>AND($A4&lt;&gt;"",ISBLANK(C4))</x:formula>
    </x:cfRule>
  </x:conditionalFormatting>
  <x:conditionalFormatting sqref="D4:D1003">
    <x:cfRule type="expression" dxfId="178" priority="4">
      <x:formula>AND($A4&lt;&gt;"",ISBLANK(D4))</x:formula>
    </x:cfRule>
  </x:conditionalFormatting>
  <x:conditionalFormatting sqref="E4:E1003">
    <x:cfRule type="expression" dxfId="179" priority="5">
      <x:formula>AND($A4&lt;&gt;"",ISBLANK(E4))</x:formula>
    </x:cfRule>
  </x:conditionalFormatting>
  <x:conditionalFormatting sqref="F4:F1003">
    <x:cfRule type="expression" dxfId="180" priority="6">
      <x:formula>AND($A4&lt;&gt;"",ISBLANK(F4))</x:formula>
    </x:cfRule>
  </x:conditionalFormatting>
  <x:conditionalFormatting sqref="H4:H1003">
    <x:cfRule type="expression" dxfId="181" priority="7">
      <x:formula>AND($A4&lt;&gt;"",ISBLANK(H4))</x:formula>
    </x:cfRule>
  </x:conditionalFormatting>
  <x:conditionalFormatting sqref="I4:I1003">
    <x:cfRule type="containsText" dxfId="182" priority="8" operator="containsText" text="candidate"/>
    <x:cfRule type="containsText" dxfId="183" priority="9" operator="containsText" text="unverified"/>
    <x:cfRule type="containsText" dxfId="184" priority="10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  <x:col min="7" max="7" width="70" hidden="0" customWidth="1"/>
  </x:cols>
  <x:sheetData>
    <x:row r="1" ht="30" customHeight="1">
      <x:c r="A1" s="7" t="str">
        <x:v>配置编号</x:v>
      </x:c>
      <x:c r="B1" s="7" t="str">
        <x:v>贡献位组</x:v>
      </x:c>
      <x:c r="C1" s="7" t="str">
        <x:v>当前幸运</x:v>
      </x:c>
      <x:c r="D1" s="7" t="str">
        <x:v>单件贡献</x:v>
      </x:c>
      <x:c r="E1" s="7" t="str">
        <x:v>参数状态</x:v>
      </x:c>
      <x:c r="F1" s="7" t="str">
        <x:v>来源章节与行号</x:v>
      </x:c>
      <x:c r="G1" s="7" t="str">
        <x:v>说明</x:v>
      </x:c>
    </x:row>
    <x:row r="2" ht="30" customHeight="1">
      <x:c r="A2" s="12" t="str">
        <x:v>id</x:v>
      </x:c>
      <x:c r="B2" s="12" t="str">
        <x:v>source_group</x:v>
      </x:c>
      <x:c r="C2" s="12" t="str">
        <x:v>luck</x:v>
      </x:c>
      <x:c r="D2" s="12" t="str">
        <x:v>contribution_bp</x:v>
      </x:c>
      <x:c r="E2" s="12" t="str">
        <x:v>record_status</x:v>
      </x:c>
      <x:c r="F2" s="12" t="str">
        <x:v>source_ref</x:v>
      </x:c>
      <x:c r="G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int / 必填 / 概率万分率 / both</x:v>
      </x:c>
      <x:c r="E3" s="15" t="str">
        <x:v>string / 必填 / none</x:v>
      </x:c>
      <x:c r="F3" s="15" t="str">
        <x:v>string / 必填 / none</x:v>
      </x:c>
      <x:c r="G3" s="15" t="str">
        <x:v>string / 可空 / none</x:v>
      </x:c>
    </x:row>
    <x:row r="4" ht="15" hidden="0" customHeight="1">
      <x:c r="A4" s="19" t="n">
        <x:v>1</x:v>
      </x:c>
      <x:c r="B4" s="17" t="str">
        <x:v>weapon</x:v>
      </x:c>
      <x:c r="C4" s="16" t="n">
        <x:v>0</x:v>
      </x:c>
      <x:c r="D4" s="16" t="n">
        <x:v>0</x:v>
      </x:c>
      <x:c r="E4" s="17" t="str">
        <x:v>confirmed</x:v>
      </x:c>
      <x:c r="F4" s="18" t="str">
        <x:v>最终策划案.md:237-243；4.6</x:v>
      </x:c>
      <x:c r="G4" s="18" t="str"/>
    </x:row>
    <x:row r="5" ht="15" hidden="0" customHeight="1">
      <x:c r="A5" s="19" t="n">
        <x:v>2</x:v>
      </x:c>
      <x:c r="B5" s="17" t="str">
        <x:v>weapon</x:v>
      </x:c>
      <x:c r="C5" s="16" t="n">
        <x:v>1</x:v>
      </x:c>
      <x:c r="D5" s="16" t="n">
        <x:v>200</x:v>
      </x:c>
      <x:c r="E5" s="17" t="str">
        <x:v>confirmed</x:v>
      </x:c>
      <x:c r="F5" s="18" t="str">
        <x:v>最终策划案.md:237-243；4.6</x:v>
      </x:c>
      <x:c r="G5" s="18" t="str"/>
    </x:row>
    <x:row r="6" ht="15" hidden="0" customHeight="1">
      <x:c r="A6" s="19" t="n">
        <x:v>3</x:v>
      </x:c>
      <x:c r="B6" s="17" t="str">
        <x:v>weapon</x:v>
      </x:c>
      <x:c r="C6" s="16" t="n">
        <x:v>2</x:v>
      </x:c>
      <x:c r="D6" s="16" t="n">
        <x:v>300</x:v>
      </x:c>
      <x:c r="E6" s="17" t="str">
        <x:v>confirmed</x:v>
      </x:c>
      <x:c r="F6" s="18" t="str">
        <x:v>最终策划案.md:237-243；4.6</x:v>
      </x:c>
      <x:c r="G6" s="18" t="str"/>
    </x:row>
    <x:row r="7" ht="15" hidden="0" customHeight="1">
      <x:c r="A7" s="19" t="n">
        <x:v>4</x:v>
      </x:c>
      <x:c r="B7" s="17" t="str">
        <x:v>weapon</x:v>
      </x:c>
      <x:c r="C7" s="16" t="n">
        <x:v>3</x:v>
      </x:c>
      <x:c r="D7" s="16" t="n">
        <x:v>440</x:v>
      </x:c>
      <x:c r="E7" s="17" t="str">
        <x:v>confirmed</x:v>
      </x:c>
      <x:c r="F7" s="18" t="str">
        <x:v>最终策划案.md:237-243；4.6</x:v>
      </x:c>
      <x:c r="G7" s="18" t="str"/>
    </x:row>
    <x:row r="8" ht="15" hidden="0" customHeight="1">
      <x:c r="A8" s="19" t="n">
        <x:v>5</x:v>
      </x:c>
      <x:c r="B8" s="17" t="str">
        <x:v>weapon</x:v>
      </x:c>
      <x:c r="C8" s="16" t="n">
        <x:v>4</x:v>
      </x:c>
      <x:c r="D8" s="16" t="n">
        <x:v>600</x:v>
      </x:c>
      <x:c r="E8" s="17" t="str">
        <x:v>confirmed</x:v>
      </x:c>
      <x:c r="F8" s="18" t="str">
        <x:v>最终策划案.md:237-243；4.6</x:v>
      </x:c>
      <x:c r="G8" s="18" t="str"/>
    </x:row>
    <x:row r="9" ht="15" hidden="0" customHeight="1">
      <x:c r="A9" s="19" t="n">
        <x:v>6</x:v>
      </x:c>
      <x:c r="B9" s="17" t="str">
        <x:v>weapon</x:v>
      </x:c>
      <x:c r="C9" s="16" t="n">
        <x:v>5</x:v>
      </x:c>
      <x:c r="D9" s="16" t="n">
        <x:v>800</x:v>
      </x:c>
      <x:c r="E9" s="17" t="str">
        <x:v>confirmed</x:v>
      </x:c>
      <x:c r="F9" s="18" t="str">
        <x:v>最终策划案.md:237-243；4.6</x:v>
      </x:c>
      <x:c r="G9" s="18" t="str"/>
    </x:row>
    <x:row r="10" ht="15" hidden="0" customHeight="1">
      <x:c r="A10" s="19" t="n">
        <x:v>7</x:v>
      </x:c>
      <x:c r="B10" s="17" t="str">
        <x:v>weapon</x:v>
      </x:c>
      <x:c r="C10" s="16" t="n">
        <x:v>6</x:v>
      </x:c>
      <x:c r="D10" s="16" t="n">
        <x:v>1100</x:v>
      </x:c>
      <x:c r="E10" s="17" t="str">
        <x:v>confirmed</x:v>
      </x:c>
      <x:c r="F10" s="18" t="str">
        <x:v>最终策划案.md:237-243；4.6</x:v>
      </x:c>
      <x:c r="G10" s="18" t="str"/>
    </x:row>
    <x:row r="11" ht="15" hidden="0" customHeight="1">
      <x:c r="A11" s="19" t="n">
        <x:v>8</x:v>
      </x:c>
      <x:c r="B11" s="17" t="str">
        <x:v>weapon</x:v>
      </x:c>
      <x:c r="C11" s="16" t="n">
        <x:v>7</x:v>
      </x:c>
      <x:c r="D11" s="16" t="n">
        <x:v>1500</x:v>
      </x:c>
      <x:c r="E11" s="17" t="str">
        <x:v>confirmed</x:v>
      </x:c>
      <x:c r="F11" s="18" t="str">
        <x:v>最终策划案.md:237-243；4.6</x:v>
      </x:c>
      <x:c r="G11" s="18" t="str"/>
    </x:row>
    <x:row r="12" ht="15" hidden="0" customHeight="1">
      <x:c r="A12" s="19" t="n">
        <x:v>9</x:v>
      </x:c>
      <x:c r="B12" s="17" t="str">
        <x:v>weapon</x:v>
      </x:c>
      <x:c r="C12" s="16" t="n">
        <x:v>8</x:v>
      </x:c>
      <x:c r="D12" s="16" t="n">
        <x:v>2100</x:v>
      </x:c>
      <x:c r="E12" s="17" t="str">
        <x:v>confirmed</x:v>
      </x:c>
      <x:c r="F12" s="18" t="str">
        <x:v>最终策划案.md:237-243；4.6</x:v>
      </x:c>
      <x:c r="G12" s="18" t="str"/>
    </x:row>
    <x:row r="13" ht="15" hidden="0" customHeight="1">
      <x:c r="A13" s="19" t="n">
        <x:v>10</x:v>
      </x:c>
      <x:c r="B13" s="17" t="str">
        <x:v>weapon</x:v>
      </x:c>
      <x:c r="C13" s="16" t="n">
        <x:v>9</x:v>
      </x:c>
      <x:c r="D13" s="16" t="n">
        <x:v>3000</x:v>
      </x:c>
      <x:c r="E13" s="17" t="str">
        <x:v>confirmed</x:v>
      </x:c>
      <x:c r="F13" s="18" t="str">
        <x:v>最终策划案.md:237-243；4.6</x:v>
      </x:c>
      <x:c r="G13" s="18" t="str"/>
    </x:row>
    <x:row r="14" ht="15" hidden="0" customHeight="1">
      <x:c r="A14" s="19" t="n">
        <x:v>11</x:v>
      </x:c>
      <x:c r="B14" s="17" t="str">
        <x:v>wing</x:v>
      </x:c>
      <x:c r="C14" s="16" t="n">
        <x:v>0</x:v>
      </x:c>
      <x:c r="D14" s="16" t="n">
        <x:v>0</x:v>
      </x:c>
      <x:c r="E14" s="17" t="str">
        <x:v>confirmed</x:v>
      </x:c>
      <x:c r="F14" s="18" t="str">
        <x:v>最终策划案.md:237-243；4.6</x:v>
      </x:c>
      <x:c r="G14" s="18" t="str"/>
    </x:row>
    <x:row r="15" ht="15" hidden="0" customHeight="1">
      <x:c r="A15" s="19" t="n">
        <x:v>12</x:v>
      </x:c>
      <x:c r="B15" s="17" t="str">
        <x:v>wing</x:v>
      </x:c>
      <x:c r="C15" s="16" t="n">
        <x:v>1</x:v>
      </x:c>
      <x:c r="D15" s="16" t="n">
        <x:v>200</x:v>
      </x:c>
      <x:c r="E15" s="17" t="str">
        <x:v>confirmed</x:v>
      </x:c>
      <x:c r="F15" s="18" t="str">
        <x:v>最终策划案.md:237-243；4.6</x:v>
      </x:c>
      <x:c r="G15" s="18" t="str"/>
    </x:row>
    <x:row r="16" ht="15" hidden="0" customHeight="1">
      <x:c r="A16" s="19" t="n">
        <x:v>13</x:v>
      </x:c>
      <x:c r="B16" s="17" t="str">
        <x:v>wing</x:v>
      </x:c>
      <x:c r="C16" s="16" t="n">
        <x:v>2</x:v>
      </x:c>
      <x:c r="D16" s="16" t="n">
        <x:v>300</x:v>
      </x:c>
      <x:c r="E16" s="17" t="str">
        <x:v>confirmed</x:v>
      </x:c>
      <x:c r="F16" s="18" t="str">
        <x:v>最终策划案.md:237-243；4.6</x:v>
      </x:c>
      <x:c r="G16" s="18" t="str"/>
    </x:row>
    <x:row r="17" ht="15" hidden="0" customHeight="1">
      <x:c r="A17" s="19" t="n">
        <x:v>14</x:v>
      </x:c>
      <x:c r="B17" s="17" t="str">
        <x:v>wing</x:v>
      </x:c>
      <x:c r="C17" s="16" t="n">
        <x:v>3</x:v>
      </x:c>
      <x:c r="D17" s="16" t="n">
        <x:v>440</x:v>
      </x:c>
      <x:c r="E17" s="17" t="str">
        <x:v>confirmed</x:v>
      </x:c>
      <x:c r="F17" s="18" t="str">
        <x:v>最终策划案.md:237-243；4.6</x:v>
      </x:c>
      <x:c r="G17" s="18" t="str"/>
    </x:row>
    <x:row r="18" ht="15" hidden="0" customHeight="1">
      <x:c r="A18" s="19" t="n">
        <x:v>15</x:v>
      </x:c>
      <x:c r="B18" s="17" t="str">
        <x:v>wing</x:v>
      </x:c>
      <x:c r="C18" s="16" t="n">
        <x:v>4</x:v>
      </x:c>
      <x:c r="D18" s="16" t="n">
        <x:v>600</x:v>
      </x:c>
      <x:c r="E18" s="17" t="str">
        <x:v>confirmed</x:v>
      </x:c>
      <x:c r="F18" s="18" t="str">
        <x:v>最终策划案.md:237-243；4.6</x:v>
      </x:c>
      <x:c r="G18" s="18" t="str"/>
    </x:row>
    <x:row r="19" ht="15" hidden="0" customHeight="1">
      <x:c r="A19" s="19" t="n">
        <x:v>16</x:v>
      </x:c>
      <x:c r="B19" s="17" t="str">
        <x:v>wing</x:v>
      </x:c>
      <x:c r="C19" s="16" t="n">
        <x:v>5</x:v>
      </x:c>
      <x:c r="D19" s="16" t="n">
        <x:v>800</x:v>
      </x:c>
      <x:c r="E19" s="17" t="str">
        <x:v>confirmed</x:v>
      </x:c>
      <x:c r="F19" s="18" t="str">
        <x:v>最终策划案.md:237-243；4.6</x:v>
      </x:c>
      <x:c r="G19" s="18" t="str"/>
    </x:row>
    <x:row r="20" ht="15" hidden="0" customHeight="1">
      <x:c r="A20" s="19" t="n">
        <x:v>17</x:v>
      </x:c>
      <x:c r="B20" s="17" t="str">
        <x:v>wing</x:v>
      </x:c>
      <x:c r="C20" s="16" t="n">
        <x:v>6</x:v>
      </x:c>
      <x:c r="D20" s="16" t="n">
        <x:v>1100</x:v>
      </x:c>
      <x:c r="E20" s="17" t="str">
        <x:v>confirmed</x:v>
      </x:c>
      <x:c r="F20" s="18" t="str">
        <x:v>最终策划案.md:237-243；4.6</x:v>
      </x:c>
      <x:c r="G20" s="18" t="str"/>
    </x:row>
    <x:row r="21" ht="15" hidden="0" customHeight="1">
      <x:c r="A21" s="19" t="n">
        <x:v>18</x:v>
      </x:c>
      <x:c r="B21" s="17" t="str">
        <x:v>wing</x:v>
      </x:c>
      <x:c r="C21" s="16" t="n">
        <x:v>7</x:v>
      </x:c>
      <x:c r="D21" s="16" t="n">
        <x:v>1500</x:v>
      </x:c>
      <x:c r="E21" s="17" t="str">
        <x:v>confirmed</x:v>
      </x:c>
      <x:c r="F21" s="18" t="str">
        <x:v>最终策划案.md:237-243；4.6</x:v>
      </x:c>
      <x:c r="G21" s="18" t="str"/>
    </x:row>
    <x:row r="22" ht="15" hidden="0" customHeight="1">
      <x:c r="A22" s="19" t="n">
        <x:v>19</x:v>
      </x:c>
      <x:c r="B22" s="17" t="str">
        <x:v>wing</x:v>
      </x:c>
      <x:c r="C22" s="16" t="n">
        <x:v>8</x:v>
      </x:c>
      <x:c r="D22" s="16" t="n">
        <x:v>2100</x:v>
      </x:c>
      <x:c r="E22" s="17" t="str">
        <x:v>confirmed</x:v>
      </x:c>
      <x:c r="F22" s="18" t="str">
        <x:v>最终策划案.md:237-243；4.6</x:v>
      </x:c>
      <x:c r="G22" s="18" t="str"/>
    </x:row>
    <x:row r="23" ht="15" hidden="0" customHeight="1">
      <x:c r="A23" s="19" t="n">
        <x:v>20</x:v>
      </x:c>
      <x:c r="B23" s="17" t="str">
        <x:v>wing</x:v>
      </x:c>
      <x:c r="C23" s="16" t="n">
        <x:v>9</x:v>
      </x:c>
      <x:c r="D23" s="16" t="n">
        <x:v>3000</x:v>
      </x:c>
      <x:c r="E23" s="17" t="str">
        <x:v>confirmed</x:v>
      </x:c>
      <x:c r="F23" s="18" t="str">
        <x:v>最终策划案.md:237-243；4.6</x:v>
      </x:c>
      <x:c r="G23" s="18" t="str"/>
    </x:row>
    <x:row r="24" ht="15" hidden="0" customHeight="1">
      <x:c r="A24" s="19" t="n">
        <x:v>21</x:v>
      </x:c>
      <x:c r="B24" s="17" t="str">
        <x:v>other_equipment</x:v>
      </x:c>
      <x:c r="C24" s="16" t="n">
        <x:v>0</x:v>
      </x:c>
      <x:c r="D24" s="16" t="n">
        <x:v>0</x:v>
      </x:c>
      <x:c r="E24" s="17" t="str">
        <x:v>confirmed</x:v>
      </x:c>
      <x:c r="F24" s="18" t="str">
        <x:v>最终策划案.md:237-243；4.6</x:v>
      </x:c>
      <x:c r="G24" s="18" t="str"/>
    </x:row>
    <x:row r="25" ht="15" hidden="0" customHeight="1">
      <x:c r="A25" s="19" t="n">
        <x:v>22</x:v>
      </x:c>
      <x:c r="B25" s="17" t="str">
        <x:v>other_equipment</x:v>
      </x:c>
      <x:c r="C25" s="16" t="n">
        <x:v>1</x:v>
      </x:c>
      <x:c r="D25" s="16" t="n">
        <x:v>200</x:v>
      </x:c>
      <x:c r="E25" s="17" t="str">
        <x:v>confirmed</x:v>
      </x:c>
      <x:c r="F25" s="18" t="str">
        <x:v>最终策划案.md:237-243；4.6</x:v>
      </x:c>
      <x:c r="G25" s="18" t="str"/>
    </x:row>
    <x:row r="26" ht="15" hidden="0" customHeight="1">
      <x:c r="A26" s="19" t="n">
        <x:v>23</x:v>
      </x:c>
      <x:c r="B26" s="17" t="str">
        <x:v>other_equipment</x:v>
      </x:c>
      <x:c r="C26" s="16" t="n">
        <x:v>2</x:v>
      </x:c>
      <x:c r="D26" s="16" t="n">
        <x:v>300</x:v>
      </x:c>
      <x:c r="E26" s="17" t="str">
        <x:v>confirmed</x:v>
      </x:c>
      <x:c r="F26" s="18" t="str">
        <x:v>最终策划案.md:237-243；4.6</x:v>
      </x:c>
      <x:c r="G26" s="18" t="str"/>
    </x:row>
    <x:row r="27" ht="15" hidden="0" customHeight="1">
      <x:c r="A27" s="19" t="n">
        <x:v>24</x:v>
      </x:c>
      <x:c r="B27" s="17" t="str">
        <x:v>other_equipment</x:v>
      </x:c>
      <x:c r="C27" s="16" t="n">
        <x:v>3</x:v>
      </x:c>
      <x:c r="D27" s="16" t="n">
        <x:v>445</x:v>
      </x:c>
      <x:c r="E27" s="17" t="str">
        <x:v>confirmed</x:v>
      </x:c>
      <x:c r="F27" s="18" t="str">
        <x:v>最终策划案.md:237-243；4.6</x:v>
      </x:c>
      <x:c r="G27" s="18" t="str"/>
    </x:row>
  </x:sheetData>
  <x:conditionalFormatting sqref="A4:A1003">
    <x:cfRule type="expression" dxfId="185" priority="1">
      <x:formula>AND($A4&lt;&gt;"",ISBLANK(A4))</x:formula>
    </x:cfRule>
  </x:conditionalFormatting>
  <x:conditionalFormatting sqref="B4:B1003">
    <x:cfRule type="expression" dxfId="186" priority="2">
      <x:formula>AND($A4&lt;&gt;"",ISBLANK(B4))</x:formula>
    </x:cfRule>
  </x:conditionalFormatting>
  <x:conditionalFormatting sqref="C4:C1003">
    <x:cfRule type="expression" dxfId="187" priority="3">
      <x:formula>AND($A4&lt;&gt;"",ISBLANK(C4))</x:formula>
    </x:cfRule>
  </x:conditionalFormatting>
  <x:conditionalFormatting sqref="D4:D1003">
    <x:cfRule type="expression" dxfId="188" priority="4">
      <x:formula>AND($A4&lt;&gt;"",ISBLANK(D4))</x:formula>
    </x:cfRule>
  </x:conditionalFormatting>
  <x:conditionalFormatting sqref="E4:E1003">
    <x:cfRule type="containsText" dxfId="189" priority="5" operator="containsText" text="candidate"/>
    <x:cfRule type="containsText" dxfId="190" priority="6" operator="containsText" text="unverified"/>
    <x:cfRule type="containsText" dxfId="191" priority="7" operator="containsText" text="historical"/>
  </x:conditionalFormatting>
  <x:dataValidations count="1">
    <x:dataValidation type="list" sqref="E4:E1003">
      <x:formula1>"confirmed,candidate,unverified,historical"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4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贡献位</x:v>
      </x:c>
      <x:c r="C1" s="7" t="str">
        <x:v>最大幸运</x:v>
      </x:c>
      <x:c r="D1" s="7" t="str">
        <x:v>可喝油</x:v>
      </x:c>
      <x:c r="E1" s="7" t="str">
        <x:v>贡献表组</x:v>
      </x:c>
      <x:c r="F1" s="7" t="str">
        <x:v>激活条件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source_key</x:v>
      </x:c>
      <x:c r="C2" s="12" t="str">
        <x:v>maximum_luck</x:v>
      </x:c>
      <x:c r="D2" s="12" t="str">
        <x:v>oil_allowed</x:v>
      </x:c>
      <x:c r="E2" s="12" t="str">
        <x:v>contribution_group</x:v>
      </x:c>
      <x:c r="F2" s="12" t="str">
        <x:v>activation_requirement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bool / 必填 / both</x:v>
      </x:c>
      <x:c r="E3" s="15" t="str">
        <x:v>string / 必填 / both</x:v>
      </x:c>
      <x:c r="F3" s="15" t="str">
        <x:v>string / 必填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7" t="str">
        <x:v>weapon</x:v>
      </x:c>
      <x:c r="C4" s="16" t="n">
        <x:v>9</x:v>
      </x:c>
      <x:c r="D4" s="9" t="b">
        <x:v>1</x:v>
      </x:c>
      <x:c r="E4" s="17" t="str">
        <x:v>weapon</x:v>
      </x:c>
      <x:c r="F4" s="17" t="str">
        <x:v>valid_equipped_item</x:v>
      </x:c>
      <x:c r="G4" s="17" t="str">
        <x:v>confirmed</x:v>
      </x:c>
      <x:c r="H4" s="18" t="str">
        <x:v>最终策划案.md:223-245、535-551；4.6、4.24</x:v>
      </x:c>
      <x:c r="I4" s="18" t="str"/>
    </x:row>
    <x:row r="5" ht="15" hidden="0" customHeight="1">
      <x:c r="A5" s="19" t="n">
        <x:v>2</x:v>
      </x:c>
      <x:c r="B5" s="17" t="str">
        <x:v>helmet</x:v>
      </x:c>
      <x:c r="C5" s="16" t="n">
        <x:v>3</x:v>
      </x:c>
      <x:c r="D5" s="9" t="b">
        <x:v>0</x:v>
      </x:c>
      <x:c r="E5" s="17" t="str">
        <x:v>other_equipment</x:v>
      </x:c>
      <x:c r="F5" s="17" t="str">
        <x:v>valid_equipped_item</x:v>
      </x:c>
      <x:c r="G5" s="17" t="str">
        <x:v>confirmed</x:v>
      </x:c>
      <x:c r="H5" s="18" t="str">
        <x:v>最终策划案.md:223-245、535-551；4.6、4.24</x:v>
      </x:c>
      <x:c r="I5" s="18" t="str"/>
    </x:row>
    <x:row r="6" ht="15" hidden="0" customHeight="1">
      <x:c r="A6" s="19" t="n">
        <x:v>3</x:v>
      </x:c>
      <x:c r="B6" s="17" t="str">
        <x:v>necklace</x:v>
      </x:c>
      <x:c r="C6" s="16" t="n">
        <x:v>3</x:v>
      </x:c>
      <x:c r="D6" s="9" t="b">
        <x:v>0</x:v>
      </x:c>
      <x:c r="E6" s="17" t="str">
        <x:v>other_equipment</x:v>
      </x:c>
      <x:c r="F6" s="17" t="str">
        <x:v>valid_equipped_item</x:v>
      </x:c>
      <x:c r="G6" s="17" t="str">
        <x:v>confirmed</x:v>
      </x:c>
      <x:c r="H6" s="18" t="str">
        <x:v>最终策划案.md:223-245、535-551；4.6、4.24</x:v>
      </x:c>
      <x:c r="I6" s="18" t="str"/>
    </x:row>
    <x:row r="7" ht="15" hidden="0" customHeight="1">
      <x:c r="A7" s="19" t="n">
        <x:v>4</x:v>
      </x:c>
      <x:c r="B7" s="17" t="str">
        <x:v>armor</x:v>
      </x:c>
      <x:c r="C7" s="16" t="n">
        <x:v>3</x:v>
      </x:c>
      <x:c r="D7" s="9" t="b">
        <x:v>0</x:v>
      </x:c>
      <x:c r="E7" s="17" t="str">
        <x:v>other_equipment</x:v>
      </x:c>
      <x:c r="F7" s="17" t="str">
        <x:v>valid_equipped_item</x:v>
      </x:c>
      <x:c r="G7" s="17" t="str">
        <x:v>confirmed</x:v>
      </x:c>
      <x:c r="H7" s="18" t="str">
        <x:v>最终策划案.md:223-245、535-551；4.6、4.24</x:v>
      </x:c>
      <x:c r="I7" s="18" t="str"/>
    </x:row>
    <x:row r="8" ht="15" hidden="0" customHeight="1">
      <x:c r="A8" s="19" t="n">
        <x:v>5</x:v>
      </x:c>
      <x:c r="B8" s="17" t="str">
        <x:v>bracelet_left</x:v>
      </x:c>
      <x:c r="C8" s="16" t="n">
        <x:v>3</x:v>
      </x:c>
      <x:c r="D8" s="9" t="b">
        <x:v>0</x:v>
      </x:c>
      <x:c r="E8" s="17" t="str">
        <x:v>other_equipment</x:v>
      </x:c>
      <x:c r="F8" s="17" t="str">
        <x:v>valid_equipped_item</x:v>
      </x:c>
      <x:c r="G8" s="17" t="str">
        <x:v>confirmed</x:v>
      </x:c>
      <x:c r="H8" s="18" t="str">
        <x:v>最终策划案.md:223-245、535-551；4.6、4.24</x:v>
      </x:c>
      <x:c r="I8" s="18" t="str"/>
    </x:row>
    <x:row r="9" ht="15" hidden="0" customHeight="1">
      <x:c r="A9" s="19" t="n">
        <x:v>6</x:v>
      </x:c>
      <x:c r="B9" s="17" t="str">
        <x:v>bracelet_right</x:v>
      </x:c>
      <x:c r="C9" s="16" t="n">
        <x:v>3</x:v>
      </x:c>
      <x:c r="D9" s="9" t="b">
        <x:v>0</x:v>
      </x:c>
      <x:c r="E9" s="17" t="str">
        <x:v>other_equipment</x:v>
      </x:c>
      <x:c r="F9" s="17" t="str">
        <x:v>valid_equipped_item</x:v>
      </x:c>
      <x:c r="G9" s="17" t="str">
        <x:v>confirmed</x:v>
      </x:c>
      <x:c r="H9" s="18" t="str">
        <x:v>最终策划案.md:223-245、535-551；4.6、4.24</x:v>
      </x:c>
      <x:c r="I9" s="18" t="str"/>
    </x:row>
    <x:row r="10" ht="15" hidden="0" customHeight="1">
      <x:c r="A10" s="19" t="n">
        <x:v>7</x:v>
      </x:c>
      <x:c r="B10" s="17" t="str">
        <x:v>ring_left</x:v>
      </x:c>
      <x:c r="C10" s="16" t="n">
        <x:v>3</x:v>
      </x:c>
      <x:c r="D10" s="9" t="b">
        <x:v>0</x:v>
      </x:c>
      <x:c r="E10" s="17" t="str">
        <x:v>other_equipment</x:v>
      </x:c>
      <x:c r="F10" s="17" t="str">
        <x:v>valid_equipped_item</x:v>
      </x:c>
      <x:c r="G10" s="17" t="str">
        <x:v>confirmed</x:v>
      </x:c>
      <x:c r="H10" s="18" t="str">
        <x:v>最终策划案.md:223-245、535-551；4.6、4.24</x:v>
      </x:c>
      <x:c r="I10" s="18" t="str"/>
    </x:row>
    <x:row r="11" ht="15" hidden="0" customHeight="1">
      <x:c r="A11" s="19" t="n">
        <x:v>8</x:v>
      </x:c>
      <x:c r="B11" s="17" t="str">
        <x:v>ring_right</x:v>
      </x:c>
      <x:c r="C11" s="16" t="n">
        <x:v>3</x:v>
      </x:c>
      <x:c r="D11" s="9" t="b">
        <x:v>0</x:v>
      </x:c>
      <x:c r="E11" s="17" t="str">
        <x:v>other_equipment</x:v>
      </x:c>
      <x:c r="F11" s="17" t="str">
        <x:v>valid_equipped_item</x:v>
      </x:c>
      <x:c r="G11" s="17" t="str">
        <x:v>confirmed</x:v>
      </x:c>
      <x:c r="H11" s="18" t="str">
        <x:v>最终策划案.md:223-245、535-551；4.6、4.24</x:v>
      </x:c>
      <x:c r="I11" s="18" t="str"/>
    </x:row>
    <x:row r="12" ht="15" hidden="0" customHeight="1">
      <x:c r="A12" s="19" t="n">
        <x:v>9</x:v>
      </x:c>
      <x:c r="B12" s="17" t="str">
        <x:v>belt</x:v>
      </x:c>
      <x:c r="C12" s="16" t="n">
        <x:v>3</x:v>
      </x:c>
      <x:c r="D12" s="9" t="b">
        <x:v>0</x:v>
      </x:c>
      <x:c r="E12" s="17" t="str">
        <x:v>other_equipment</x:v>
      </x:c>
      <x:c r="F12" s="17" t="str">
        <x:v>valid_equipped_item</x:v>
      </x:c>
      <x:c r="G12" s="17" t="str">
        <x:v>confirmed</x:v>
      </x:c>
      <x:c r="H12" s="18" t="str">
        <x:v>最终策划案.md:223-245、535-551；4.6、4.24</x:v>
      </x:c>
      <x:c r="I12" s="18" t="str"/>
    </x:row>
    <x:row r="13" ht="15" hidden="0" customHeight="1">
      <x:c r="A13" s="19" t="n">
        <x:v>10</x:v>
      </x:c>
      <x:c r="B13" s="17" t="str">
        <x:v>boots</x:v>
      </x:c>
      <x:c r="C13" s="16" t="n">
        <x:v>3</x:v>
      </x:c>
      <x:c r="D13" s="9" t="b">
        <x:v>0</x:v>
      </x:c>
      <x:c r="E13" s="17" t="str">
        <x:v>other_equipment</x:v>
      </x:c>
      <x:c r="F13" s="17" t="str">
        <x:v>valid_equipped_item</x:v>
      </x:c>
      <x:c r="G13" s="17" t="str">
        <x:v>confirmed</x:v>
      </x:c>
      <x:c r="H13" s="18" t="str">
        <x:v>最终策划案.md:223-245、535-551；4.6、4.24</x:v>
      </x:c>
      <x:c r="I13" s="18" t="str"/>
    </x:row>
    <x:row r="14" ht="15" hidden="0" customHeight="1">
      <x:c r="A14" s="19" t="n">
        <x:v>11</x:v>
      </x:c>
      <x:c r="B14" s="17" t="str">
        <x:v>wing</x:v>
      </x:c>
      <x:c r="C14" s="16" t="n">
        <x:v>9</x:v>
      </x:c>
      <x:c r="D14" s="9" t="b">
        <x:v>1</x:v>
      </x:c>
      <x:c r="E14" s="17" t="str">
        <x:v>wing</x:v>
      </x:c>
      <x:c r="F14" s="17" t="str">
        <x:v>unique_active_wing_id</x:v>
      </x:c>
      <x:c r="G14" s="17" t="str">
        <x:v>confirmed</x:v>
      </x:c>
      <x:c r="H14" s="18" t="str">
        <x:v>最终策划案.md:223-245、535-551；4.6、4.24</x:v>
      </x:c>
      <x:c r="I14" s="18" t="str"/>
    </x:row>
  </x:sheetData>
  <x:conditionalFormatting sqref="A4:A1003">
    <x:cfRule type="expression" dxfId="192" priority="1">
      <x:formula>AND($A4&lt;&gt;"",ISBLANK(A4))</x:formula>
    </x:cfRule>
  </x:conditionalFormatting>
  <x:conditionalFormatting sqref="B4:B1003">
    <x:cfRule type="expression" dxfId="193" priority="2">
      <x:formula>AND($A4&lt;&gt;"",ISBLANK(B4))</x:formula>
    </x:cfRule>
  </x:conditionalFormatting>
  <x:conditionalFormatting sqref="C4:C1003">
    <x:cfRule type="expression" dxfId="194" priority="3">
      <x:formula>AND($A4&lt;&gt;"",ISBLANK(C4))</x:formula>
    </x:cfRule>
  </x:conditionalFormatting>
  <x:conditionalFormatting sqref="D4:D1003">
    <x:cfRule type="expression" dxfId="195" priority="4">
      <x:formula>AND($A4&lt;&gt;"",ISBLANK(D4))</x:formula>
    </x:cfRule>
  </x:conditionalFormatting>
  <x:conditionalFormatting sqref="E4:E1003">
    <x:cfRule type="expression" dxfId="196" priority="5">
      <x:formula>AND($A4&lt;&gt;"",ISBLANK(E4))</x:formula>
    </x:cfRule>
  </x:conditionalFormatting>
  <x:conditionalFormatting sqref="F4:F1003">
    <x:cfRule type="expression" dxfId="197" priority="6">
      <x:formula>AND($A4&lt;&gt;"",ISBLANK(F4))</x:formula>
    </x:cfRule>
  </x:conditionalFormatting>
  <x:conditionalFormatting sqref="G4:G1003">
    <x:cfRule type="containsText" dxfId="198" priority="7" operator="containsText" text="candidate"/>
    <x:cfRule type="containsText" dxfId="199" priority="8" operator="containsText" text="unverified"/>
    <x:cfRule type="containsText" dxfId="200" priority="9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attack_probability_cap_bp</x:v>
      </x:c>
      <x:c r="C4" s="17" t="str">
        <x:v>10000</x:v>
      </x:c>
      <x:c r="D4" s="17" t="str">
        <x:v>confirmed</x:v>
      </x:c>
      <x:c r="E4" s="18" t="str">
        <x:v>最终策划案.md:235-246；4.6</x:v>
      </x:c>
      <x:c r="F4" s="18" t="str"/>
    </x:row>
    <x:row r="5" ht="26.399999618530273" hidden="0" customHeight="1">
      <x:c r="A5" s="19" t="n">
        <x:v>2</x:v>
      </x:c>
      <x:c r="B5" s="17" t="str">
        <x:v>order</x:v>
      </x:c>
      <x:c r="C5" s="17" t="str">
        <x:v>["sum_valid_contributions","clamp_to_100_percent","subtract_target_resistance","clamp_to_0_100_percent"]</x:v>
      </x:c>
      <x:c r="D5" s="17" t="str">
        <x:v>confirmed</x:v>
      </x:c>
      <x:c r="E5" s="18" t="str">
        <x:v>最终策划案.md:235-246；4.6</x:v>
      </x:c>
      <x:c r="F5" s="18" t="str"/>
    </x:row>
    <x:row r="6" ht="15" hidden="0" customHeight="1">
      <x:c r="A6" s="19" t="n">
        <x:v>3</x:v>
      </x:c>
      <x:c r="B6" s="17" t="str">
        <x:v>proc_result</x:v>
      </x:c>
      <x:c r="C6" s="17" t="str">
        <x:v>"use_maximum_of_original_attack_interval"</x:v>
      </x:c>
      <x:c r="D6" s="17" t="str">
        <x:v>confirmed</x:v>
      </x:c>
      <x:c r="E6" s="18" t="str">
        <x:v>最终策划案.md:235-246；4.6</x:v>
      </x:c>
      <x:c r="F6" s="18" t="str"/>
    </x:row>
    <x:row r="7" ht="15" hidden="0" customHeight="1">
      <x:c r="A7" s="19" t="n">
        <x:v>4</x:v>
      </x:c>
      <x:c r="B7" s="17" t="str">
        <x:v>affects_drop_rate</x:v>
      </x:c>
      <x:c r="C7" s="17" t="str">
        <x:v>false</x:v>
      </x:c>
      <x:c r="D7" s="17" t="str">
        <x:v>confirmed</x:v>
      </x:c>
      <x:c r="E7" s="18" t="str">
        <x:v>最终策划案.md:235-246；4.6</x:v>
      </x:c>
      <x:c r="F7" s="18" t="str"/>
    </x:row>
    <x:row r="8" ht="15" hidden="0" customHeight="1">
      <x:c r="A8" s="19" t="n">
        <x:v>5</x:v>
      </x:c>
      <x:c r="B8" s="17" t="str">
        <x:v>bypasses_hit_or_defence</x:v>
      </x:c>
      <x:c r="C8" s="17" t="str">
        <x:v>false</x:v>
      </x:c>
      <x:c r="D8" s="17" t="str">
        <x:v>confirmed</x:v>
      </x:c>
      <x:c r="E8" s="18" t="str">
        <x:v>最终策划案.md:235-246；4.6</x:v>
      </x:c>
      <x:c r="F8" s="18" t="str"/>
    </x:row>
    <x:row r="9" ht="15" hidden="0" customHeight="1">
      <x:c r="A9" s="19" t="n">
        <x:v>6</x:v>
      </x:c>
      <x:c r="B9" s="17" t="str">
        <x:v>adds_extra_damage_event</x:v>
      </x:c>
      <x:c r="C9" s="17" t="str">
        <x:v>false</x:v>
      </x:c>
      <x:c r="D9" s="17" t="str">
        <x:v>confirmed</x:v>
      </x:c>
      <x:c r="E9" s="18" t="str">
        <x:v>最终策划案.md:235-246；4.6</x:v>
      </x:c>
      <x:c r="F9" s="18" t="str"/>
    </x:row>
    <x:row r="10" ht="15" hidden="0" customHeight="1">
      <x:c r="A10" s="19" t="n">
        <x:v>7</x:v>
      </x:c>
      <x:c r="B10" s="17" t="str">
        <x:v>oil_output_quantity</x:v>
      </x:c>
      <x:c r="C10" s="17" t="str">
        <x:v>1</x:v>
      </x:c>
      <x:c r="D10" s="17" t="str">
        <x:v>confirmed</x:v>
      </x:c>
      <x:c r="E10" s="18" t="str">
        <x:v>最终策划案.md:235-246；4.6</x:v>
      </x:c>
      <x:c r="F10" s="18" t="str"/>
    </x:row>
    <x:row r="11" ht="15" hidden="0" customHeight="1">
      <x:c r="A11" s="19" t="n">
        <x:v>8</x:v>
      </x:c>
      <x:c r="B11" s="17" t="str">
        <x:v>oil_recycle_probability_formula</x:v>
      </x:c>
      <x:c r="C11" s="17" t="str">
        <x:v>"min(1,luck/30)"</x:v>
      </x:c>
      <x:c r="D11" s="17" t="str">
        <x:v>confirmed</x:v>
      </x:c>
      <x:c r="E11" s="18" t="str">
        <x:v>最终策划案.md:235-246；4.6</x:v>
      </x:c>
      <x:c r="F11" s="18" t="str"/>
    </x:row>
    <x:row r="12" ht="15" hidden="0" customHeight="1">
      <x:c r="A12" s="19" t="n">
        <x:v>9</x:v>
      </x:c>
      <x:c r="B12" s="17" t="str">
        <x:v>oil_recycle_inherits_binding</x:v>
      </x:c>
      <x:c r="C12" s="17" t="str">
        <x:v>true</x:v>
      </x:c>
      <x:c r="D12" s="17" t="str">
        <x:v>confirmed</x:v>
      </x:c>
      <x:c r="E12" s="18" t="str">
        <x:v>最终策划案.md:235-246；4.6</x:v>
      </x:c>
      <x:c r="F12" s="18" t="str"/>
    </x:row>
    <x:row r="13" ht="15" hidden="0" customHeight="1">
      <x:c r="A13" s="19" t="n">
        <x:v>13</x:v>
      </x:c>
      <x:c r="B13" s="17" t="str">
        <x:v>oil_at_luck_9_consumption</x:v>
      </x:c>
      <x:c r="C13" s="17" t="str">
        <x:v>0</x:v>
      </x:c>
      <x:c r="D13" s="17" t="str">
        <x:v>confirmed</x:v>
      </x:c>
      <x:c r="E13" s="18" t="str">
        <x:v>最终策划案.md:235-246；4.6</x:v>
      </x:c>
      <x:c r="F13" s="18" t="str"/>
    </x:row>
    <x:row r="14" ht="15" hidden="0" customHeight="1">
      <x:c r="A14" s="19" t="n">
        <x:v>14</x:v>
      </x:c>
      <x:c r="B14" s="17" t="str">
        <x:v>medal_contributes_luck</x:v>
      </x:c>
      <x:c r="C14" s="17" t="str">
        <x:v>false</x:v>
      </x:c>
      <x:c r="D14" s="17" t="str">
        <x:v>confirmed</x:v>
      </x:c>
      <x:c r="E14" s="18" t="str">
        <x:v>最终策划案.md:235-246；4.6</x:v>
      </x:c>
      <x:c r="F14" s="18" t="str"/>
    </x:row>
  </x:sheetData>
  <x:conditionalFormatting sqref="A4:A1003">
    <x:cfRule type="expression" dxfId="201" priority="1">
      <x:formula>AND($A4&lt;&gt;"",ISBLANK(A4))</x:formula>
    </x:cfRule>
  </x:conditionalFormatting>
  <x:conditionalFormatting sqref="B4:B1003">
    <x:cfRule type="expression" dxfId="202" priority="2">
      <x:formula>AND($A4&lt;&gt;"",ISBLANK(B4))</x:formula>
    </x:cfRule>
  </x:conditionalFormatting>
  <x:conditionalFormatting sqref="C4:C1003">
    <x:cfRule type="expression" dxfId="203" priority="3">
      <x:formula>AND($A4&lt;&gt;"",ISBLANK(C4))</x:formula>
    </x:cfRule>
  </x:conditionalFormatting>
  <x:conditionalFormatting sqref="D4:D1003">
    <x:cfRule type="containsText" dxfId="204" priority="4" operator="containsText" text="candidate"/>
    <x:cfRule type="containsText" dxfId="205" priority="5" operator="containsText" text="unverified"/>
    <x:cfRule type="containsText" dxfId="206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24" hidden="0" customWidth="1"/>
    <x:col min="8" max="8" width="23" hidden="0" customWidth="1"/>
    <x:col min="9" max="9" width="18" hidden="0" customWidth="1"/>
    <x:col min="10" max="10" width="18" hidden="0" customWidth="1"/>
    <x:col min="11" max="11" width="48" hidden="0" customWidth="1"/>
    <x:col min="12" max="12" width="70" hidden="0" customWidth="1"/>
  </x:cols>
  <x:sheetData>
    <x:row r="1" ht="30" customHeight="1">
      <x:c r="A1" s="7" t="str">
        <x:v>配置编号</x:v>
      </x:c>
      <x:c r="B1" s="7" t="str">
        <x:v>矿种键</x:v>
      </x:c>
      <x:c r="C1" s="7" t="str">
        <x:v>矿种</x:v>
      </x:c>
      <x:c r="D1" s="7" t="str">
        <x:v>一层权重</x:v>
      </x:c>
      <x:c r="E1" s="7" t="str">
        <x:v>二层权重</x:v>
      </x:c>
      <x:c r="F1" s="7" t="str">
        <x:v>每纯度金币价格分子</x:v>
      </x:c>
      <x:c r="G1" s="7" t="str">
        <x:v>每纯度金币价格分母</x:v>
      </x:c>
      <x:c r="H1" s="7" t="str">
        <x:v>整数结算规则</x:v>
      </x:c>
      <x:c r="I1" s="7" t="str">
        <x:v>打造材料</x:v>
      </x:c>
      <x:c r="J1" s="7" t="str">
        <x:v>参数状态</x:v>
      </x:c>
      <x:c r="K1" s="7" t="str">
        <x:v>来源章节与行号</x:v>
      </x:c>
      <x:c r="L1" s="7" t="str">
        <x:v>说明</x:v>
      </x:c>
    </x:row>
    <x:row r="2" ht="30" customHeight="1">
      <x:c r="A2" s="12" t="str">
        <x:v>id</x:v>
      </x:c>
      <x:c r="B2" s="12" t="str">
        <x:v>ore_key</x:v>
      </x:c>
      <x:c r="C2" s="12" t="str">
        <x:v>display_name</x:v>
      </x:c>
      <x:c r="D2" s="12" t="str">
        <x:v>layer_1_weight</x:v>
      </x:c>
      <x:c r="E2" s="12" t="str">
        <x:v>layer_2_weight</x:v>
      </x:c>
      <x:c r="F2" s="12" t="str">
        <x:v>price_gold_numerator</x:v>
      </x:c>
      <x:c r="G2" s="12" t="str">
        <x:v>price_gold_denominator</x:v>
      </x:c>
      <x:c r="H2" s="12" t="str">
        <x:v>integer_rounding_rule</x:v>
      </x:c>
      <x:c r="I2" s="12" t="str">
        <x:v>craft_material</x:v>
      </x:c>
      <x:c r="J2" s="12" t="str">
        <x:v>record_status</x:v>
      </x:c>
      <x:c r="K2" s="12" t="str">
        <x:v>source_ref</x:v>
      </x:c>
      <x:c r="L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int / 必填 / both</x:v>
      </x:c>
      <x:c r="F3" s="15" t="str">
        <x:v>int / 必填 / 有理数价格分子 / both</x:v>
      </x:c>
      <x:c r="G3" s="15" t="str">
        <x:v>int / 必填 / 有理数价格分母 / both</x:v>
      </x:c>
      <x:c r="H3" s="15" t="str">
        <x:v>string / 必填 / both</x:v>
      </x:c>
      <x:c r="I3" s="15" t="str">
        <x:v>bool / 必填 / both</x:v>
      </x:c>
      <x:c r="J3" s="15" t="str">
        <x:v>string / 必填 / none</x:v>
      </x:c>
      <x:c r="K3" s="15" t="str">
        <x:v>string / 必填 / none</x:v>
      </x:c>
      <x:c r="L3" s="15" t="str">
        <x:v>string / 可空 / none</x:v>
      </x:c>
    </x:row>
    <x:row r="4" ht="26.399999618530273" hidden="0" customHeight="1">
      <x:c r="A4" s="19" t="n">
        <x:v>1</x:v>
      </x:c>
      <x:c r="B4" s="17" t="str">
        <x:v>copper</x:v>
      </x:c>
      <x:c r="C4" s="17" t="str">
        <x:v>铜矿</x:v>
      </x:c>
      <x:c r="D4" s="16" t="n">
        <x:v>58</x:v>
      </x:c>
      <x:c r="E4" s="16" t="n">
        <x:v>34</x:v>
      </x:c>
      <x:c r="F4" s="16" t="n">
        <x:v>1</x:v>
      </x:c>
      <x:c r="G4" s="16" t="n">
        <x:v>2</x:v>
      </x:c>
      <x:c r="H4" s="17" t="str">
        <x:v>floor_per_ore</x:v>
      </x:c>
      <x:c r="I4" s="9" t="b">
        <x:v>0</x:v>
      </x:c>
      <x:c r="J4" s="17" t="str">
        <x:v>candidate</x:v>
      </x:c>
      <x:c r="K4" s="18" t="str">
        <x:v>最终策划案.md:559-566、873；4.25、5.12（历史测算取整候选）</x:v>
      </x:c>
      <x:c r="L4" s="18" t="str">
        <x:v>每纯度参考价格精确为1/2金币。floor_per_ore来自5.12第873行逐块向下取整的历史测算口径，作为可追溯候选保留；采纳或调整为正式规则并完成整数结算验收前，不视为正式已验收。</x:v>
      </x:c>
    </x:row>
    <x:row r="5" ht="15" hidden="0" customHeight="1">
      <x:c r="A5" s="19" t="n">
        <x:v>2</x:v>
      </x:c>
      <x:c r="B5" s="17" t="str">
        <x:v>iron</x:v>
      </x:c>
      <x:c r="C5" s="17" t="str">
        <x:v>铁矿</x:v>
      </x:c>
      <x:c r="D5" s="16" t="n">
        <x:v>30</x:v>
      </x:c>
      <x:c r="E5" s="16" t="n">
        <x:v>40</x:v>
      </x:c>
      <x:c r="F5" s="16" t="n">
        <x:v>1</x:v>
      </x:c>
      <x:c r="G5" s="16" t="n">
        <x:v>1</x:v>
      </x:c>
      <x:c r="H5" s="17" t="str">
        <x:v>exact</x:v>
      </x:c>
      <x:c r="I5" s="9" t="b">
        <x:v>0</x:v>
      </x:c>
      <x:c r="J5" s="17" t="str">
        <x:v>candidate</x:v>
      </x:c>
      <x:c r="K5" s="18" t="str">
        <x:v>最终策划案.md:557-566；4.25</x:v>
      </x:c>
      <x:c r="L5" s="18" t="str">
        <x:v>价格分母为1；exact仅表示没有小数的精确整数乘积，不新增舍入或余数累计规则。</x:v>
      </x:c>
    </x:row>
    <x:row r="6" ht="15" hidden="0" customHeight="1">
      <x:c r="A6" s="19" t="n">
        <x:v>3</x:v>
      </x:c>
      <x:c r="B6" s="17" t="str">
        <x:v>gold</x:v>
      </x:c>
      <x:c r="C6" s="17" t="str">
        <x:v>金矿</x:v>
      </x:c>
      <x:c r="D6" s="16" t="n">
        <x:v>10</x:v>
      </x:c>
      <x:c r="E6" s="16" t="n">
        <x:v>20</x:v>
      </x:c>
      <x:c r="F6" s="16" t="n">
        <x:v>2</x:v>
      </x:c>
      <x:c r="G6" s="16" t="n">
        <x:v>1</x:v>
      </x:c>
      <x:c r="H6" s="17" t="str">
        <x:v>exact</x:v>
      </x:c>
      <x:c r="I6" s="9" t="b">
        <x:v>0</x:v>
      </x:c>
      <x:c r="J6" s="17" t="str">
        <x:v>candidate</x:v>
      </x:c>
      <x:c r="K6" s="18" t="str">
        <x:v>最终策划案.md:557-566；4.25</x:v>
      </x:c>
      <x:c r="L6" s="18" t="str">
        <x:v>价格分母为1；exact仅表示没有小数的精确整数乘积，不新增舍入或余数累计规则。</x:v>
      </x:c>
    </x:row>
    <x:row r="7" ht="15" hidden="0" customHeight="1">
      <x:c r="A7" s="19" t="n">
        <x:v>4</x:v>
      </x:c>
      <x:c r="B7" s="17" t="str">
        <x:v>black_iron</x:v>
      </x:c>
      <x:c r="C7" s="17" t="str">
        <x:v>黑铁矿</x:v>
      </x:c>
      <x:c r="D7" s="16" t="n">
        <x:v>2</x:v>
      </x:c>
      <x:c r="E7" s="16" t="n">
        <x:v>6</x:v>
      </x:c>
      <x:c r="F7" s="16" t="n">
        <x:v>4</x:v>
      </x:c>
      <x:c r="G7" s="16" t="n">
        <x:v>1</x:v>
      </x:c>
      <x:c r="H7" s="17" t="str">
        <x:v>exact</x:v>
      </x:c>
      <x:c r="I7" s="9" t="b">
        <x:v>1</x:v>
      </x:c>
      <x:c r="J7" s="17" t="str">
        <x:v>candidate</x:v>
      </x:c>
      <x:c r="K7" s="18" t="str">
        <x:v>最终策划案.md:557-566；4.25</x:v>
      </x:c>
      <x:c r="L7" s="18" t="str">
        <x:v>价格分母为1；exact仅表示没有小数的精确整数乘积，不新增舍入或余数累计规则。</x:v>
      </x:c>
    </x:row>
    <x:row r="8" ht="15" hidden="0" customHeight="1">
      <x:c r="A8" s="19"/>
      <x:c r="B8" s="17"/>
      <x:c r="C8" s="17"/>
      <x:c r="D8" s="16"/>
      <x:c r="E8" s="16"/>
      <x:c r="F8" s="16"/>
      <x:c r="G8" s="16"/>
      <x:c r="H8" s="17"/>
      <x:c r="I8" s="2"/>
      <x:c r="J8" s="17"/>
      <x:c r="K8" s="18"/>
      <x:c r="L8" s="18"/>
    </x:row>
    <x:row r="9" ht="15" hidden="0" customHeight="1">
      <x:c r="A9" s="19"/>
      <x:c r="B9" s="17"/>
      <x:c r="C9" s="17"/>
      <x:c r="D9" s="16"/>
      <x:c r="E9" s="16"/>
      <x:c r="F9" s="16"/>
      <x:c r="G9" s="16"/>
      <x:c r="H9" s="17"/>
      <x:c r="I9" s="2"/>
      <x:c r="J9" s="17"/>
      <x:c r="K9" s="18"/>
      <x:c r="L9" s="18"/>
    </x:row>
  </x:sheetData>
  <x:conditionalFormatting sqref="A4:A1003">
    <x:cfRule type="expression" dxfId="207" priority="1">
      <x:formula>AND($A4&lt;&gt;"",ISBLANK(A4))</x:formula>
    </x:cfRule>
  </x:conditionalFormatting>
  <x:conditionalFormatting sqref="B4:B1003">
    <x:cfRule type="expression" dxfId="208" priority="2">
      <x:formula>AND($A4&lt;&gt;"",ISBLANK(B4))</x:formula>
    </x:cfRule>
  </x:conditionalFormatting>
  <x:conditionalFormatting sqref="C4:C1003">
    <x:cfRule type="expression" dxfId="209" priority="3">
      <x:formula>AND($A4&lt;&gt;"",ISBLANK(C4))</x:formula>
    </x:cfRule>
  </x:conditionalFormatting>
  <x:conditionalFormatting sqref="D4:D1003">
    <x:cfRule type="expression" dxfId="210" priority="4">
      <x:formula>AND($A4&lt;&gt;"",ISBLANK(D4))</x:formula>
    </x:cfRule>
  </x:conditionalFormatting>
  <x:conditionalFormatting sqref="E4:E1003">
    <x:cfRule type="expression" dxfId="211" priority="5">
      <x:formula>AND($A4&lt;&gt;"",ISBLANK(E4))</x:formula>
    </x:cfRule>
  </x:conditionalFormatting>
  <x:conditionalFormatting sqref="F4:F1003">
    <x:cfRule type="expression" dxfId="212" priority="6">
      <x:formula>AND($A4&lt;&gt;"",ISBLANK(F4))</x:formula>
    </x:cfRule>
  </x:conditionalFormatting>
  <x:conditionalFormatting sqref="G4:G1003">
    <x:cfRule type="expression" dxfId="213" priority="7">
      <x:formula>AND($A4&lt;&gt;"",ISBLANK(G4))</x:formula>
    </x:cfRule>
  </x:conditionalFormatting>
  <x:conditionalFormatting sqref="H4:H1003">
    <x:cfRule type="expression" dxfId="214" priority="8">
      <x:formula>AND($A4&lt;&gt;"",ISBLANK(H4))</x:formula>
    </x:cfRule>
  </x:conditionalFormatting>
  <x:conditionalFormatting sqref="I4:I1003">
    <x:cfRule type="expression" dxfId="215" priority="9">
      <x:formula>AND($A4&lt;&gt;"",ISBLANK(I4))</x:formula>
    </x:cfRule>
  </x:conditionalFormatting>
  <x:conditionalFormatting sqref="J4:J1003">
    <x:cfRule type="containsText" dxfId="216" priority="10" operator="containsText" text="candidate"/>
    <x:cfRule type="containsText" dxfId="217" priority="11" operator="containsText" text="unverified"/>
    <x:cfRule type="containsText" dxfId="218" priority="12" operator="containsText" text="historical"/>
  </x:conditionalFormatting>
  <x:dataValidations count="1">
    <x:dataValidation type="list" sqref="J4:J1003">
      <x:formula1>"confirmed,candidate,unverified,historical"</x:formula1>
    </x:dataValidation>
  </x:dataValidation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  <x:col min="7" max="7" width="70" hidden="0" customWidth="1"/>
  </x:cols>
  <x:sheetData>
    <x:row r="1" ht="30" customHeight="1">
      <x:c r="A1" s="7" t="str">
        <x:v>配置编号</x:v>
      </x:c>
      <x:c r="B1" s="7" t="str">
        <x:v>层数</x:v>
      </x:c>
      <x:c r="C1" s="7" t="str">
        <x:v>最低等级</x:v>
      </x:c>
      <x:c r="D1" s="7" t="str">
        <x:v>地图配置引用</x:v>
      </x:c>
      <x:c r="E1" s="7" t="str">
        <x:v>参数状态</x:v>
      </x:c>
      <x:c r="F1" s="7" t="str">
        <x:v>来源章节与行号</x:v>
      </x:c>
      <x:c r="G1" s="7" t="str">
        <x:v>说明</x:v>
      </x:c>
    </x:row>
    <x:row r="2" ht="30" customHeight="1">
      <x:c r="A2" s="12" t="str">
        <x:v>id</x:v>
      </x:c>
      <x:c r="B2" s="12" t="str">
        <x:v>layer</x:v>
      </x:c>
      <x:c r="C2" s="12" t="str">
        <x:v>minimum_level</x:v>
      </x:c>
      <x:c r="D2" s="12" t="str">
        <x:v>map_config_id</x:v>
      </x:c>
      <x:c r="E2" s="12" t="str">
        <x:v>record_status</x:v>
      </x:c>
      <x:c r="F2" s="12" t="str">
        <x:v>source_ref</x:v>
      </x:c>
      <x:c r="G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可空 / both</x:v>
      </x:c>
      <x:c r="E3" s="15" t="str">
        <x:v>string / 必填 / none</x:v>
      </x:c>
      <x:c r="F3" s="15" t="str">
        <x:v>string / 必填 / none</x:v>
      </x:c>
      <x:c r="G3" s="15" t="str">
        <x:v>string / 可空 / none</x:v>
      </x:c>
    </x:row>
    <x:row r="4" ht="15" hidden="0" customHeight="1">
      <x:c r="A4" s="19" t="n">
        <x:v>1</x:v>
      </x:c>
      <x:c r="B4" s="16" t="n">
        <x:v>1</x:v>
      </x:c>
      <x:c r="C4" s="16" t="n">
        <x:v>20</x:v>
      </x:c>
      <x:c r="D4" s="16"/>
      <x:c r="E4" s="17" t="str">
        <x:v>candidate</x:v>
      </x:c>
      <x:c r="F4" s="18" t="str">
        <x:v>最终策划案.md:557；4.25</x:v>
      </x:c>
      <x:c r="G4" s="18" t="str"/>
    </x:row>
    <x:row r="5" ht="15" hidden="0" customHeight="1">
      <x:c r="A5" s="19" t="n">
        <x:v>2</x:v>
      </x:c>
      <x:c r="B5" s="16" t="n">
        <x:v>2</x:v>
      </x:c>
      <x:c r="C5" s="16" t="n">
        <x:v>36</x:v>
      </x:c>
      <x:c r="D5" s="16"/>
      <x:c r="E5" s="17" t="str">
        <x:v>candidate</x:v>
      </x:c>
      <x:c r="F5" s="18" t="str">
        <x:v>最终策划案.md:557；4.25</x:v>
      </x:c>
      <x:c r="G5" s="18" t="str"/>
    </x:row>
    <x:row r="6" ht="15" hidden="0" customHeight="1">
      <x:c r="A6" s="19"/>
      <x:c r="B6" s="16"/>
      <x:c r="C6" s="16"/>
      <x:c r="D6" s="16"/>
      <x:c r="E6" s="17"/>
      <x:c r="F6" s="18"/>
      <x:c r="G6" s="18"/>
    </x:row>
    <x:row r="7" ht="15" hidden="0" customHeight="1">
      <x:c r="A7" s="19"/>
      <x:c r="B7" s="16"/>
      <x:c r="C7" s="16"/>
      <x:c r="D7" s="16"/>
      <x:c r="E7" s="17"/>
      <x:c r="F7" s="18"/>
      <x:c r="G7" s="18"/>
    </x:row>
    <x:row r="8" ht="15" hidden="0" customHeight="1">
      <x:c r="A8" s="19"/>
      <x:c r="B8" s="16"/>
      <x:c r="C8" s="16"/>
      <x:c r="D8" s="16"/>
      <x:c r="E8" s="17"/>
      <x:c r="F8" s="18"/>
      <x:c r="G8" s="18"/>
    </x:row>
    <x:row r="9" ht="15" hidden="0" customHeight="1">
      <x:c r="A9" s="19"/>
      <x:c r="B9" s="16"/>
      <x:c r="C9" s="16"/>
      <x:c r="D9" s="16"/>
      <x:c r="E9" s="17"/>
      <x:c r="F9" s="18"/>
      <x:c r="G9" s="18"/>
    </x:row>
  </x:sheetData>
  <x:conditionalFormatting sqref="A4:A1003">
    <x:cfRule type="expression" dxfId="219" priority="1">
      <x:formula>AND($A4&lt;&gt;"",ISBLANK(A4))</x:formula>
    </x:cfRule>
  </x:conditionalFormatting>
  <x:conditionalFormatting sqref="B4:B1003">
    <x:cfRule type="expression" dxfId="220" priority="2">
      <x:formula>AND($A4&lt;&gt;"",ISBLANK(B4))</x:formula>
    </x:cfRule>
  </x:conditionalFormatting>
  <x:conditionalFormatting sqref="C4:C1003">
    <x:cfRule type="expression" dxfId="221" priority="3">
      <x:formula>AND($A4&lt;&gt;"",ISBLANK(C4))</x:formula>
    </x:cfRule>
  </x:conditionalFormatting>
  <x:conditionalFormatting sqref="E4:E1003">
    <x:cfRule type="containsText" dxfId="222" priority="4" operator="containsText" text="candidate"/>
    <x:cfRule type="containsText" dxfId="223" priority="5" operator="containsText" text="unverified"/>
    <x:cfRule type="containsText" dxfId="224" priority="6" operator="containsText" text="historical"/>
  </x:conditionalFormatting>
  <x:dataValidations count="1">
    <x:dataValidation type="list" sqref="E4:E1003">
      <x:formula1>"confirmed,candidate,unverified,historical"</x:formula1>
    </x:dataValidation>
  </x:dataValidation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纯度下限</x:v>
      </x:c>
      <x:c r="C1" s="7" t="str">
        <x:v>纯度上限</x:v>
      </x:c>
      <x:c r="D1" s="7" t="str">
        <x:v>档位权重</x:v>
      </x:c>
      <x:c r="E1" s="7" t="str">
        <x:v>档内抽样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purity_min</x:v>
      </x:c>
      <x:c r="C2" s="12" t="str">
        <x:v>purity_max</x:v>
      </x:c>
      <x:c r="D2" s="12" t="str">
        <x:v>weight_ppm</x:v>
      </x:c>
      <x:c r="E2" s="12" t="str">
        <x:v>within_band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百万分率 / both</x:v>
      </x:c>
      <x:c r="E3" s="15" t="str">
        <x:v>string / 必填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 t="n">
        <x:v>1</x:v>
      </x:c>
      <x:c r="B4" s="16" t="n">
        <x:v>1</x:v>
      </x:c>
      <x:c r="C4" s="16" t="n">
        <x:v>20</x:v>
      </x:c>
      <x:c r="D4" s="16" t="n">
        <x:v>450000</x:v>
      </x:c>
      <x:c r="E4" s="17" t="str">
        <x:v>uniform_integer</x:v>
      </x:c>
      <x:c r="F4" s="17" t="str">
        <x:v>candidate</x:v>
      </x:c>
      <x:c r="G4" s="18" t="str">
        <x:v>最终策划案.md:566；4.25</x:v>
      </x:c>
      <x:c r="H4" s="18" t="str"/>
    </x:row>
    <x:row r="5" ht="15" hidden="0" customHeight="1">
      <x:c r="A5" s="19" t="n">
        <x:v>2</x:v>
      </x:c>
      <x:c r="B5" s="16" t="n">
        <x:v>21</x:v>
      </x:c>
      <x:c r="C5" s="16" t="n">
        <x:v>40</x:v>
      </x:c>
      <x:c r="D5" s="16" t="n">
        <x:v>300000</x:v>
      </x:c>
      <x:c r="E5" s="17" t="str">
        <x:v>uniform_integer</x:v>
      </x:c>
      <x:c r="F5" s="17" t="str">
        <x:v>candidate</x:v>
      </x:c>
      <x:c r="G5" s="18" t="str">
        <x:v>最终策划案.md:566；4.25</x:v>
      </x:c>
      <x:c r="H5" s="18" t="str"/>
    </x:row>
    <x:row r="6" ht="15" hidden="0" customHeight="1">
      <x:c r="A6" s="19" t="n">
        <x:v>3</x:v>
      </x:c>
      <x:c r="B6" s="16" t="n">
        <x:v>41</x:v>
      </x:c>
      <x:c r="C6" s="16" t="n">
        <x:v>60</x:v>
      </x:c>
      <x:c r="D6" s="16" t="n">
        <x:v>150000</x:v>
      </x:c>
      <x:c r="E6" s="17" t="str">
        <x:v>uniform_integer</x:v>
      </x:c>
      <x:c r="F6" s="17" t="str">
        <x:v>candidate</x:v>
      </x:c>
      <x:c r="G6" s="18" t="str">
        <x:v>最终策划案.md:566；4.25</x:v>
      </x:c>
      <x:c r="H6" s="18" t="str"/>
    </x:row>
    <x:row r="7" ht="15" hidden="0" customHeight="1">
      <x:c r="A7" s="19" t="n">
        <x:v>4</x:v>
      </x:c>
      <x:c r="B7" s="16" t="n">
        <x:v>61</x:v>
      </x:c>
      <x:c r="C7" s="16" t="n">
        <x:v>80</x:v>
      </x:c>
      <x:c r="D7" s="16" t="n">
        <x:v>70000</x:v>
      </x:c>
      <x:c r="E7" s="17" t="str">
        <x:v>uniform_integer</x:v>
      </x:c>
      <x:c r="F7" s="17" t="str">
        <x:v>candidate</x:v>
      </x:c>
      <x:c r="G7" s="18" t="str">
        <x:v>最终策划案.md:566；4.25</x:v>
      </x:c>
      <x:c r="H7" s="18" t="str"/>
    </x:row>
    <x:row r="8" ht="15" hidden="0" customHeight="1">
      <x:c r="A8" s="19" t="n">
        <x:v>5</x:v>
      </x:c>
      <x:c r="B8" s="16" t="n">
        <x:v>81</x:v>
      </x:c>
      <x:c r="C8" s="16" t="n">
        <x:v>100</x:v>
      </x:c>
      <x:c r="D8" s="16" t="n">
        <x:v>30000</x:v>
      </x:c>
      <x:c r="E8" s="17" t="str">
        <x:v>uniform_integer</x:v>
      </x:c>
      <x:c r="F8" s="17" t="str">
        <x:v>candidate</x:v>
      </x:c>
      <x:c r="G8" s="18" t="str">
        <x:v>最终策划案.md:566；4.25</x:v>
      </x:c>
      <x:c r="H8" s="18" t="str"/>
    </x:row>
    <x:row r="9" ht="15" hidden="0" customHeight="1">
      <x:c r="A9" s="19"/>
      <x:c r="B9" s="16"/>
      <x:c r="C9" s="16"/>
      <x:c r="D9" s="16"/>
      <x:c r="E9" s="17"/>
      <x:c r="F9" s="17"/>
      <x:c r="G9" s="18"/>
      <x:c r="H9" s="18"/>
    </x:row>
  </x:sheetData>
  <x:conditionalFormatting sqref="A4:A1003">
    <x:cfRule type="expression" dxfId="225" priority="1">
      <x:formula>AND($A4&lt;&gt;"",ISBLANK(A4))</x:formula>
    </x:cfRule>
  </x:conditionalFormatting>
  <x:conditionalFormatting sqref="B4:B1003">
    <x:cfRule type="expression" dxfId="226" priority="2">
      <x:formula>AND($A4&lt;&gt;"",ISBLANK(B4))</x:formula>
    </x:cfRule>
  </x:conditionalFormatting>
  <x:conditionalFormatting sqref="C4:C1003">
    <x:cfRule type="expression" dxfId="227" priority="3">
      <x:formula>AND($A4&lt;&gt;"",ISBLANK(C4))</x:formula>
    </x:cfRule>
  </x:conditionalFormatting>
  <x:conditionalFormatting sqref="D4:D1003">
    <x:cfRule type="expression" dxfId="228" priority="4">
      <x:formula>AND($A4&lt;&gt;"",ISBLANK(D4))</x:formula>
    </x:cfRule>
  </x:conditionalFormatting>
  <x:conditionalFormatting sqref="E4:E1003">
    <x:cfRule type="expression" dxfId="229" priority="5">
      <x:formula>AND($A4&lt;&gt;"",ISBLANK(E4))</x:formula>
    </x:cfRule>
  </x:conditionalFormatting>
  <x:conditionalFormatting sqref="F4:F1003">
    <x:cfRule type="containsText" dxfId="230" priority="6" operator="containsText" text="candidate"/>
    <x:cfRule type="containsText" dxfId="231" priority="7" operator="containsText" text="unverified"/>
    <x:cfRule type="containsText" dxfId="232" priority="8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mining_interval_sec</x:v>
      </x:c>
      <x:c r="C4" s="17" t="str">
        <x:v>3</x:v>
      </x:c>
      <x:c r="D4" s="17" t="str">
        <x:v>candidate</x:v>
      </x:c>
      <x:c r="E4" s="18" t="str">
        <x:v>最终策划案.md:123-129、553-582；4.2、4.25</x:v>
      </x:c>
      <x:c r="F4" s="18" t="str"/>
    </x:row>
    <x:row r="5" ht="15" hidden="0" customHeight="1">
      <x:c r="A5" s="19" t="n">
        <x:v>2</x:v>
      </x:c>
      <x:c r="B5" s="17" t="str">
        <x:v>mining_success_ppm</x:v>
      </x:c>
      <x:c r="C5" s="17" t="str">
        <x:v>300000</x:v>
      </x:c>
      <x:c r="D5" s="17" t="str">
        <x:v>candidate</x:v>
      </x:c>
      <x:c r="E5" s="18" t="str">
        <x:v>最终策划案.md:123-129、553-582；4.2、4.25</x:v>
      </x:c>
      <x:c r="F5" s="18" t="str"/>
    </x:row>
    <x:row r="6" ht="15" hidden="0" customHeight="1">
      <x:c r="A6" s="19" t="n">
        <x:v>3</x:v>
      </x:c>
      <x:c r="B6" s="17" t="str">
        <x:v>tool_durability_cost_per_attempt</x:v>
      </x:c>
      <x:c r="C6" s="17" t="str">
        <x:v>1</x:v>
      </x:c>
      <x:c r="D6" s="17" t="str">
        <x:v>candidate</x:v>
      </x:c>
      <x:c r="E6" s="18" t="str">
        <x:v>最终策划案.md:123-129、553-582；4.2、4.25</x:v>
      </x:c>
      <x:c r="F6" s="18" t="str"/>
    </x:row>
    <x:row r="7" ht="15" hidden="0" customHeight="1">
      <x:c r="A7" s="19" t="n">
        <x:v>4</x:v>
      </x:c>
      <x:c r="B7" s="17" t="str">
        <x:v>mining_binding_time</x:v>
      </x:c>
      <x:c r="C7" s="17" t="str">
        <x:v>"successful_ore_event"</x:v>
      </x:c>
      <x:c r="D7" s="17" t="str">
        <x:v>confirmed</x:v>
      </x:c>
      <x:c r="E7" s="18" t="str">
        <x:v>最终策划案.md:123-129、553-582；4.2、4.25</x:v>
      </x:c>
      <x:c r="F7" s="18" t="str"/>
    </x:row>
    <x:row r="8" ht="15" hidden="0" customHeight="1">
      <x:c r="A8" s="19" t="n">
        <x:v>5</x:v>
      </x:c>
      <x:c r="B8" s="17" t="str">
        <x:v>mining_only_damages_pickaxe</x:v>
      </x:c>
      <x:c r="C8" s="17" t="str">
        <x:v>true</x:v>
      </x:c>
      <x:c r="D8" s="17" t="str">
        <x:v>confirmed</x:v>
      </x:c>
      <x:c r="E8" s="18" t="str">
        <x:v>最终策划案.md:123-129、553-582；4.2、4.25</x:v>
      </x:c>
      <x:c r="F8" s="18" t="str"/>
    </x:row>
    <x:row r="9" ht="26.399999618530273" hidden="0" customHeight="1">
      <x:c r="A9" s="19" t="n">
        <x:v>6</x:v>
      </x:c>
      <x:c r="B9" s="17" t="str">
        <x:v>ore_recycle_rounding</x:v>
      </x:c>
      <x:c r="C9" s="17" t="str">
        <x:v>"floor_per_ore"</x:v>
      </x:c>
      <x:c r="D9" s="17" t="str">
        <x:v>candidate</x:v>
      </x:c>
      <x:c r="E9" s="18" t="str">
        <x:v>最终策划案.md:873；5.12（历史测算条件）；4.25参考回收价</x:v>
      </x:c>
      <x:c r="F9" s="18" t="str">
        <x:v>逐块向下取整有明确来源，为5.12历史测算口径；当前保留为候选，须确认采纳或调整为正式矿石回收规则并验收，不能视为正式已验收。</x:v>
      </x:c>
    </x:row>
    <x:row r="10" ht="15" hidden="0" customHeight="1">
      <x:c r="A10" s="19" t="n">
        <x:v>7</x:v>
      </x:c>
      <x:c r="B10" s="17" t="str">
        <x:v>hosting_card_mining_gold_bonus</x:v>
      </x:c>
      <x:c r="C10" s="17" t="str">
        <x:v>false</x:v>
      </x:c>
      <x:c r="D10" s="17" t="str">
        <x:v>confirmed</x:v>
      </x:c>
      <x:c r="E10" s="18" t="str">
        <x:v>最终策划案.md:123-129、553-582；4.2、4.25</x:v>
      </x:c>
      <x:c r="F10" s="18" t="str"/>
    </x:row>
    <x:row r="11" ht="15" hidden="0" customHeight="1">
      <x:c r="A11" s="19" t="n">
        <x:v>8</x:v>
      </x:c>
      <x:c r="B11" s="17" t="str">
        <x:v>craft_output_required_levels</x:v>
      </x:c>
      <x:c r="C11" s="17" t="str">
        <x:v>[20,30,40,50]</x:v>
      </x:c>
      <x:c r="D11" s="17" t="str">
        <x:v>confirmed</x:v>
      </x:c>
      <x:c r="E11" s="18" t="str">
        <x:v>最终策划案.md:123-129、553-582；4.2、4.25</x:v>
      </x:c>
      <x:c r="F11" s="18" t="str"/>
    </x:row>
    <x:row r="12" ht="15" hidden="0" customHeight="1">
      <x:c r="A12" s="19" t="n">
        <x:v>9</x:v>
      </x:c>
      <x:c r="B12" s="17" t="str">
        <x:v>t1_crafting_open</x:v>
      </x:c>
      <x:c r="C12" s="17" t="str">
        <x:v>false</x:v>
      </x:c>
      <x:c r="D12" s="17" t="str">
        <x:v>confirmed</x:v>
      </x:c>
      <x:c r="E12" s="18" t="str">
        <x:v>最终策划案.md:123-129、553-582；4.2、4.25</x:v>
      </x:c>
      <x:c r="F12" s="18" t="str"/>
    </x:row>
    <x:row r="13" ht="15" hidden="0" customHeight="1">
      <x:c r="A13" s="19" t="n">
        <x:v>10</x:v>
      </x:c>
      <x:c r="B13" s="17" t="str">
        <x:v>craft_blueprint_determines</x:v>
      </x:c>
      <x:c r="C13" s="17" t="str">
        <x:v>["quality","level","part"]</x:v>
      </x:c>
      <x:c r="D13" s="17" t="str">
        <x:v>confirmed</x:v>
      </x:c>
      <x:c r="E13" s="18" t="str">
        <x:v>最终策划案.md:123-129、553-582；4.2、4.25</x:v>
      </x:c>
      <x:c r="F13" s="18" t="str"/>
    </x:row>
    <x:row r="14" ht="15" hidden="0" customHeight="1">
      <x:c r="A14" s="19" t="n">
        <x:v>11</x:v>
      </x:c>
      <x:c r="B14" s="17" t="str">
        <x:v>craft_success_probability</x:v>
      </x:c>
      <x:c r="C14" s="17" t="str">
        <x:v>"average_purity/100"</x:v>
      </x:c>
      <x:c r="D14" s="17" t="str">
        <x:v>candidate</x:v>
      </x:c>
      <x:c r="E14" s="18" t="str">
        <x:v>最终策划案.md:123-129、553-582；4.2、4.25</x:v>
      </x:c>
      <x:c r="F14" s="18" t="str"/>
    </x:row>
    <x:row r="15" ht="15" hidden="0" customHeight="1">
      <x:c r="A15" s="19" t="n">
        <x:v>12</x:v>
      </x:c>
      <x:c r="B15" s="17" t="str">
        <x:v>craft_guaranteed_purity_threshold</x:v>
      </x:c>
      <x:c r="C15" s="17" t="str">
        <x:v>95</x:v>
      </x:c>
      <x:c r="D15" s="17" t="str">
        <x:v>candidate</x:v>
      </x:c>
      <x:c r="E15" s="18" t="str">
        <x:v>最终策划案.md:123-129、553-582；4.2、4.25</x:v>
      </x:c>
      <x:c r="F15" s="18" t="str"/>
    </x:row>
    <x:row r="16" ht="15" hidden="0" customHeight="1">
      <x:c r="A16" s="19" t="n">
        <x:v>13</x:v>
      </x:c>
      <x:c r="B16" s="17" t="str">
        <x:v>craft_failure_consumes</x:v>
      </x:c>
      <x:c r="C16" s="17" t="str">
        <x:v>["black_iron","gold"]</x:v>
      </x:c>
      <x:c r="D16" s="17" t="str">
        <x:v>candidate</x:v>
      </x:c>
      <x:c r="E16" s="18" t="str">
        <x:v>最终策划案.md:123-129、553-582；4.2、4.25</x:v>
      </x:c>
      <x:c r="F16" s="18" t="str"/>
    </x:row>
    <x:row r="17" ht="15" hidden="0" customHeight="1">
      <x:c r="A17" s="19" t="n">
        <x:v>14</x:v>
      </x:c>
      <x:c r="B17" s="17" t="str">
        <x:v>craft_failure_keeps_blueprint</x:v>
      </x:c>
      <x:c r="C17" s="17" t="str">
        <x:v>true</x:v>
      </x:c>
      <x:c r="D17" s="17" t="str">
        <x:v>candidate</x:v>
      </x:c>
      <x:c r="E17" s="18" t="str">
        <x:v>最终策划案.md:123-129、553-582；4.2、4.25</x:v>
      </x:c>
      <x:c r="F17" s="18" t="str"/>
    </x:row>
    <x:row r="18" ht="15" hidden="0" customHeight="1">
      <x:c r="A18" s="19" t="n">
        <x:v>15</x:v>
      </x:c>
      <x:c r="B18" s="17" t="str">
        <x:v>craft_success_consumes</x:v>
      </x:c>
      <x:c r="C18" s="17" t="str">
        <x:v>["blueprint","black_iron","gold"]</x:v>
      </x:c>
      <x:c r="D18" s="17" t="str">
        <x:v>confirmed</x:v>
      </x:c>
      <x:c r="E18" s="18" t="str">
        <x:v>最终策划案.md:123-129、553-582；4.2、4.25</x:v>
      </x:c>
      <x:c r="F18" s="18" t="str"/>
    </x:row>
    <x:row r="19" ht="15" hidden="0" customHeight="1">
      <x:c r="A19" s="19" t="n">
        <x:v>16</x:v>
      </x:c>
      <x:c r="B19" s="17" t="str">
        <x:v>craft_weapon_gold_multiplier_bp</x:v>
      </x:c>
      <x:c r="C19" s="17" t="str">
        <x:v>15000</x:v>
      </x:c>
      <x:c r="D19" s="17" t="str">
        <x:v>candidate</x:v>
      </x:c>
      <x:c r="E19" s="18" t="str">
        <x:v>最终策划案.md:123-129、553-582；4.2、4.25</x:v>
      </x:c>
      <x:c r="F19" s="18" t="str"/>
    </x:row>
    <x:row r="20" ht="15" hidden="0" customHeight="1">
      <x:c r="A20" s="19" t="n">
        <x:v>17</x:v>
      </x:c>
      <x:c r="B20" s="17" t="str">
        <x:v>craft_fail_pity</x:v>
      </x:c>
      <x:c r="C20" s="17" t="str">
        <x:v>false</x:v>
      </x:c>
      <x:c r="D20" s="17" t="str">
        <x:v>candidate</x:v>
      </x:c>
      <x:c r="E20" s="18" t="str">
        <x:v>最终策划案.md:123-129、553-582；4.2、4.25</x:v>
      </x:c>
      <x:c r="F20" s="18" t="str"/>
    </x:row>
    <x:row r="21" ht="15" hidden="0" customHeight="1">
      <x:c r="A21" s="19" t="n">
        <x:v>18</x:v>
      </x:c>
      <x:c r="B21" s="17" t="str">
        <x:v>craft_extra_base_attribute_probability</x:v>
      </x:c>
      <x:c r="C21" s="17"/>
      <x:c r="D21" s="17" t="str">
        <x:v>unverified</x:v>
      </x:c>
      <x:c r="E21" s="18" t="str">
        <x:v>最终策划案.md:123-129、553-582；4.2、4.25</x:v>
      </x:c>
      <x:c r="F21" s="18" t="str">
        <x:v>旧30%与固定加值撤销为现行依据。</x:v>
      </x:c>
    </x:row>
    <x:row r="22" ht="15" hidden="0" customHeight="1">
      <x:c r="A22" s="19" t="n">
        <x:v>19</x:v>
      </x:c>
      <x:c r="B22" s="17" t="str">
        <x:v>ordinary_equipment_break_action</x:v>
      </x:c>
      <x:c r="C22" s="17" t="str">
        <x:v>"disable_but_keep_instance"</x:v>
      </x:c>
      <x:c r="D22" s="17" t="str">
        <x:v>confirmed</x:v>
      </x:c>
      <x:c r="E22" s="18" t="str">
        <x:v>最终策划案.md:123-129、553-582；4.2、4.25</x:v>
      </x:c>
      <x:c r="F22" s="18" t="str"/>
    </x:row>
    <x:row r="23" ht="15" hidden="0" customHeight="1">
      <x:c r="A23" s="19" t="n">
        <x:v>20</x:v>
      </x:c>
      <x:c r="B23" s="17" t="str">
        <x:v>pickaxe_break_action</x:v>
      </x:c>
      <x:c r="C23" s="17" t="str">
        <x:v>"consumable_may_disappear"</x:v>
      </x:c>
      <x:c r="D23" s="17" t="str">
        <x:v>confirmed</x:v>
      </x:c>
      <x:c r="E23" s="18" t="str">
        <x:v>最终策划案.md:123-129、553-582；4.2、4.25</x:v>
      </x:c>
      <x:c r="F23" s="18" t="str"/>
    </x:row>
    <x:row r="24" ht="15" hidden="0" customHeight="1">
      <x:c r="A24" s="19" t="n">
        <x:v>21</x:v>
      </x:c>
      <x:c r="B24" s="17" t="str">
        <x:v>durability_storage_scale</x:v>
      </x:c>
      <x:c r="C24" s="17" t="str">
        <x:v>1000</x:v>
      </x:c>
      <x:c r="D24" s="17" t="str">
        <x:v>confirmed</x:v>
      </x:c>
      <x:c r="E24" s="18" t="str">
        <x:v>最终策划案.md:123-129、553-582；4.2、4.25</x:v>
      </x:c>
      <x:c r="F24" s="18" t="str"/>
    </x:row>
    <x:row r="25" ht="15" hidden="0" customHeight="1">
      <x:c r="A25" s="19" t="n">
        <x:v>22</x:v>
      </x:c>
      <x:c r="B25" s="17" t="str">
        <x:v>durability_display_rounding</x:v>
      </x:c>
      <x:c r="C25" s="17" t="str">
        <x:v>"ceil"</x:v>
      </x:c>
      <x:c r="D25" s="17" t="str">
        <x:v>confirmed</x:v>
      </x:c>
      <x:c r="E25" s="18" t="str">
        <x:v>最终策划案.md:123-129、553-582；4.2、4.25</x:v>
      </x:c>
      <x:c r="F25" s="18" t="str"/>
    </x:row>
    <x:row r="26" ht="15" hidden="0" customHeight="1">
      <x:c r="A26" s="19" t="n">
        <x:v>23</x:v>
      </x:c>
      <x:c r="B26" s="17" t="str">
        <x:v>weapon_durability_loss_per_attack</x:v>
      </x:c>
      <x:c r="C26" s="17" t="str">
        <x:v>1</x:v>
      </x:c>
      <x:c r="D26" s="17" t="str">
        <x:v>candidate</x:v>
      </x:c>
      <x:c r="E26" s="18" t="str">
        <x:v>最终策划案.md:123-129、553-582；4.2、4.25</x:v>
      </x:c>
      <x:c r="F26" s="18" t="str"/>
    </x:row>
    <x:row r="27" ht="15" hidden="0" customHeight="1">
      <x:c r="A27" s="19" t="n">
        <x:v>24</x:v>
      </x:c>
      <x:c r="B27" s="17" t="str">
        <x:v>armor_loss_on_hit_random_slot</x:v>
      </x:c>
      <x:c r="C27" s="17" t="str">
        <x:v>1</x:v>
      </x:c>
      <x:c r="D27" s="17" t="str">
        <x:v>candidate</x:v>
      </x:c>
      <x:c r="E27" s="18" t="str">
        <x:v>最终策划案.md:123-129、553-582；4.2、4.25</x:v>
      </x:c>
      <x:c r="F27" s="18" t="str"/>
    </x:row>
    <x:row r="28" ht="15" hidden="0" customHeight="1">
      <x:c r="A28" s="19" t="n">
        <x:v>25</x:v>
      </x:c>
      <x:c r="B28" s="17" t="str">
        <x:v>death_durability_random_slot_loss</x:v>
      </x:c>
      <x:c r="C28" s="17" t="str">
        <x:v>1000</x:v>
      </x:c>
      <x:c r="D28" s="17" t="str">
        <x:v>candidate</x:v>
      </x:c>
      <x:c r="E28" s="18" t="str">
        <x:v>最终策划案.md:123-129、553-582；4.2、4.25</x:v>
      </x:c>
      <x:c r="F28" s="18" t="str"/>
    </x:row>
    <x:row r="29" ht="15" hidden="0" customHeight="1">
      <x:c r="A29" s="19" t="n">
        <x:v>26</x:v>
      </x:c>
      <x:c r="B29" s="17" t="str">
        <x:v>ordinary_repair_currency</x:v>
      </x:c>
      <x:c r="C29" s="17" t="str">
        <x:v>"gold_family"</x:v>
      </x:c>
      <x:c r="D29" s="17" t="str">
        <x:v>confirmed</x:v>
      </x:c>
      <x:c r="E29" s="18" t="str">
        <x:v>最终策划案.md:123-129、553-582；4.2、4.25</x:v>
      </x:c>
      <x:c r="F29" s="18" t="str"/>
    </x:row>
    <x:row r="30" ht="15" hidden="0" customHeight="1">
      <x:c r="A30" s="19" t="n">
        <x:v>27</x:v>
      </x:c>
      <x:c r="B30" s="17" t="str">
        <x:v>special_repair_currency</x:v>
      </x:c>
      <x:c r="C30" s="17" t="str">
        <x:v>"ingot_family"</x:v>
      </x:c>
      <x:c r="D30" s="17" t="str">
        <x:v>confirmed</x:v>
      </x:c>
      <x:c r="E30" s="18" t="str">
        <x:v>最终策划案.md:123-129、553-582；4.2、4.25</x:v>
      </x:c>
      <x:c r="F30" s="18" t="str"/>
    </x:row>
    <x:row r="31" ht="15" hidden="0" customHeight="1">
      <x:c r="A31" s="19" t="n">
        <x:v>28</x:v>
      </x:c>
      <x:c r="B31" s="17" t="str">
        <x:v>repair_changes_binding</x:v>
      </x:c>
      <x:c r="C31" s="17" t="str">
        <x:v>false</x:v>
      </x:c>
      <x:c r="D31" s="17" t="str">
        <x:v>confirmed</x:v>
      </x:c>
      <x:c r="E31" s="18" t="str">
        <x:v>最终策划案.md:123-129、553-582；4.2、4.25</x:v>
      </x:c>
      <x:c r="F31" s="18" t="str"/>
    </x:row>
    <x:row r="32" ht="15" hidden="0" customHeight="1">
      <x:c r="A32" s="19" t="n">
        <x:v>29</x:v>
      </x:c>
      <x:c r="B32" s="17" t="str">
        <x:v>repair_upper_limit_loss_rate_bp</x:v>
      </x:c>
      <x:c r="C32" s="17"/>
      <x:c r="D32" s="17" t="str">
        <x:v>unverified</x:v>
      </x:c>
      <x:c r="E32" s="18" t="str">
        <x:v>最终策划案.md:123-129、553-582；4.2、4.25</x:v>
      </x:c>
      <x:c r="F32" s="18" t="str">
        <x:v>新版耗损与药修成本仿真后发布。</x:v>
      </x:c>
    </x:row>
    <x:row r="33" ht="15" hidden="0" customHeight="1">
      <x:c r="A33" s="19" t="n">
        <x:v>30</x:v>
      </x:c>
      <x:c r="B33" s="17" t="str">
        <x:v>refine_stone_recycle_probability</x:v>
      </x:c>
      <x:c r="C33" s="17" t="str">
        <x:v>"min(1,0.05*quality*(stage+1))"</x:v>
      </x:c>
      <x:c r="D33" s="17" t="str">
        <x:v>candidate</x:v>
      </x:c>
      <x:c r="E33" s="18" t="str">
        <x:v>最终策划案.md:123-129、553-582；4.2、4.25</x:v>
      </x:c>
      <x:c r="F33" s="18" t="str"/>
    </x:row>
    <x:row r="34" ht="15" hidden="0" customHeight="1">
      <x:c r="A34" s="19" t="n">
        <x:v>31</x:v>
      </x:c>
      <x:c r="B34" s="17" t="str">
        <x:v>refine_stone_recycle_quantity</x:v>
      </x:c>
      <x:c r="C34" s="17" t="str">
        <x:v>1</x:v>
      </x:c>
      <x:c r="D34" s="17" t="str">
        <x:v>candidate</x:v>
      </x:c>
      <x:c r="E34" s="18" t="str">
        <x:v>最终策划案.md:123-129、553-582；4.2、4.25</x:v>
      </x:c>
      <x:c r="F34" s="18" t="str"/>
    </x:row>
    <x:row r="35" ht="15" hidden="0" customHeight="1">
      <x:c r="A35" s="19" t="n">
        <x:v>32</x:v>
      </x:c>
      <x:c r="B35" s="17" t="str">
        <x:v>ordinary_quality_recycle_stone</x:v>
      </x:c>
      <x:c r="C35" s="17" t="str">
        <x:v>false</x:v>
      </x:c>
      <x:c r="D35" s="17" t="str">
        <x:v>confirmed</x:v>
      </x:c>
      <x:c r="E35" s="18" t="str">
        <x:v>最终策划案.md:123-129、553-582；4.2、4.25</x:v>
      </x:c>
      <x:c r="F35" s="18" t="str"/>
    </x:row>
    <x:row r="36" ht="15" hidden="0" customHeight="1">
      <x:c r="A36" s="19" t="n">
        <x:v>33</x:v>
      </x:c>
      <x:c r="B36" s="17" t="str">
        <x:v>equipment_recycle_enhance_stone</x:v>
      </x:c>
      <x:c r="C36" s="17" t="str">
        <x:v>false</x:v>
      </x:c>
      <x:c r="D36" s="17" t="str">
        <x:v>confirmed</x:v>
      </x:c>
      <x:c r="E36" s="18" t="str">
        <x:v>最终策划案.md:123-129、553-582；4.2、4.25</x:v>
      </x:c>
      <x:c r="F36" s="18" t="str"/>
    </x:row>
  </x:sheetData>
  <x:conditionalFormatting sqref="A4:A1003">
    <x:cfRule type="expression" dxfId="233" priority="1">
      <x:formula>AND($A4&lt;&gt;"",ISBLANK(A4))</x:formula>
    </x:cfRule>
  </x:conditionalFormatting>
  <x:conditionalFormatting sqref="B4:B1003">
    <x:cfRule type="expression" dxfId="234" priority="2">
      <x:formula>AND($A4&lt;&gt;"",ISBLANK(B4))</x:formula>
    </x:cfRule>
  </x:conditionalFormatting>
  <x:conditionalFormatting sqref="C4:C1003">
    <x:cfRule type="expression" dxfId="235" priority="3">
      <x:formula>AND($A4&lt;&gt;"",ISBLANK(C4))</x:formula>
    </x:cfRule>
  </x:conditionalFormatting>
  <x:conditionalFormatting sqref="D4:D1003">
    <x:cfRule type="containsText" dxfId="236" priority="4" operator="containsText" text="candidate"/>
    <x:cfRule type="containsText" dxfId="237" priority="5" operator="containsText" text="unverified"/>
    <x:cfRule type="containsText" dxfId="238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1" hidden="0" customWidth="1"/>
    <x:col min="5" max="5" width="23" hidden="0" customWidth="1"/>
    <x:col min="6" max="6" width="25" hidden="0" customWidth="1"/>
    <x:col min="7" max="7" width="18" hidden="0" customWidth="1"/>
    <x:col min="8" max="8" width="18" hidden="0" customWidth="1"/>
    <x:col min="9" max="9" width="22" hidden="0" customWidth="1"/>
    <x:col min="10" max="10" width="18" hidden="0" customWidth="1"/>
    <x:col min="11" max="11" width="48" hidden="0" customWidth="1"/>
    <x:col min="12" max="12" width="70" hidden="0" customWidth="1"/>
  </x:cols>
  <x:sheetData>
    <x:row r="1" ht="30" customHeight="1">
      <x:c r="A1" s="7" t="str">
        <x:v>配置编号</x:v>
      </x:c>
      <x:c r="B1" s="7" t="str">
        <x:v>等级下限</x:v>
      </x:c>
      <x:c r="C1" s="7" t="str">
        <x:v>等级上限空为无上限</x:v>
      </x:c>
      <x:c r="D1" s="7" t="str">
        <x:v>标准毛金</x:v>
      </x:c>
      <x:c r="E1" s="7" t="str">
        <x:v>托管报价</x:v>
      </x:c>
      <x:c r="F1" s="7" t="str">
        <x:v>洗炼金币</x:v>
      </x:c>
      <x:c r="G1" s="7" t="str">
        <x:v>稀有打造金币</x:v>
      </x:c>
      <x:c r="H1" s="7" t="str">
        <x:v>史诗打造金币</x:v>
      </x:c>
      <x:c r="I1" s="7" t="str">
        <x:v>传说打造金币</x:v>
      </x:c>
      <x:c r="J1" s="7" t="str">
        <x:v>参数状态</x:v>
      </x:c>
      <x:c r="K1" s="7" t="str">
        <x:v>来源章节与行号</x:v>
      </x:c>
      <x:c r="L1" s="7" t="str">
        <x:v>说明</x:v>
      </x:c>
    </x:row>
    <x:row r="2" ht="30" customHeight="1">
      <x:c r="A2" s="12" t="str">
        <x:v>id</x:v>
      </x:c>
      <x:c r="B2" s="12" t="str">
        <x:v>level_min</x:v>
      </x:c>
      <x:c r="C2" s="12" t="str">
        <x:v>level_max</x:v>
      </x:c>
      <x:c r="D2" s="12" t="str">
        <x:v>g_ref_gold_per_hour</x:v>
      </x:c>
      <x:c r="E2" s="12" t="str">
        <x:v>hosting_gold_per_hour</x:v>
      </x:c>
      <x:c r="F2" s="12" t="str">
        <x:v>refine_gold_per_attempt</x:v>
      </x:c>
      <x:c r="G2" s="12" t="str">
        <x:v>rare_craft_gold</x:v>
      </x:c>
      <x:c r="H2" s="12" t="str">
        <x:v>epic_craft_gold</x:v>
      </x:c>
      <x:c r="I2" s="12" t="str">
        <x:v>legendary_craft_gold</x:v>
      </x:c>
      <x:c r="J2" s="12" t="str">
        <x:v>record_status</x:v>
      </x:c>
      <x:c r="K2" s="12" t="str">
        <x:v>source_ref</x:v>
      </x:c>
      <x:c r="L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可空 / both</x:v>
      </x:c>
      <x:c r="D3" s="15" t="str">
        <x:v>int / 必填 / 金币/小时 / both</x:v>
      </x:c>
      <x:c r="E3" s="15" t="str">
        <x:v>int / 必填 / 金币/小时 / both</x:v>
      </x:c>
      <x:c r="F3" s="15" t="str">
        <x:v>int / 必填 / both</x:v>
      </x:c>
      <x:c r="G3" s="15" t="str">
        <x:v>int / 必填 / both</x:v>
      </x:c>
      <x:c r="H3" s="15" t="str">
        <x:v>int / 必填 / both</x:v>
      </x:c>
      <x:c r="I3" s="15" t="str">
        <x:v>int / 必填 / both</x:v>
      </x:c>
      <x:c r="J3" s="15" t="str">
        <x:v>string / 必填 / none</x:v>
      </x:c>
      <x:c r="K3" s="15" t="str">
        <x:v>string / 必填 / none</x:v>
      </x:c>
      <x:c r="L3" s="15" t="str">
        <x:v>string / 可空 / none</x:v>
      </x:c>
    </x:row>
    <x:row r="4" ht="26.399999618530273" hidden="0" customHeight="1">
      <x:c r="A4" s="19" t="n">
        <x:v>1</x:v>
      </x:c>
      <x:c r="B4" s="16" t="n">
        <x:v>1</x:v>
      </x:c>
      <x:c r="C4" s="16" t="n">
        <x:v>19</x:v>
      </x:c>
      <x:c r="D4" s="16" t="n">
        <x:v>10200</x:v>
      </x:c>
      <x:c r="E4" s="16" t="n">
        <x:v>20400</x:v>
      </x:c>
      <x:c r="F4" s="16" t="n">
        <x:v>1000</x:v>
      </x:c>
      <x:c r="G4" s="16" t="n">
        <x:v>12000</x:v>
      </x:c>
      <x:c r="H4" s="16" t="n">
        <x:v>36000</x:v>
      </x:c>
      <x:c r="I4" s="16" t="n">
        <x:v>120000</x:v>
      </x:c>
      <x:c r="J4" s="17" t="str">
        <x:v>candidate</x:v>
      </x:c>
      <x:c r="K4" s="18" t="str">
        <x:v>最终策划案.md:855-867、1364-1377；5.12、附录B.4</x:v>
      </x:c>
      <x:c r="L4" s="18" t="str">
        <x:v>5.12历史样本中当前费用/报价候选；最终幸运与绑定行为尚未复算，正式发布须重新采样。1-19档不开放T1打造。</x:v>
      </x:c>
    </x:row>
    <x:row r="5" ht="26.399999618530273" hidden="0" customHeight="1">
      <x:c r="A5" s="19" t="n">
        <x:v>2</x:v>
      </x:c>
      <x:c r="B5" s="16" t="n">
        <x:v>20</x:v>
      </x:c>
      <x:c r="C5" s="16" t="n">
        <x:v>29</x:v>
      </x:c>
      <x:c r="D5" s="16" t="n">
        <x:v>18000</x:v>
      </x:c>
      <x:c r="E5" s="16" t="n">
        <x:v>36000</x:v>
      </x:c>
      <x:c r="F5" s="16" t="n">
        <x:v>3000</x:v>
      </x:c>
      <x:c r="G5" s="16" t="n">
        <x:v>30000</x:v>
      </x:c>
      <x:c r="H5" s="16" t="n">
        <x:v>90000</x:v>
      </x:c>
      <x:c r="I5" s="16" t="n">
        <x:v>300000</x:v>
      </x:c>
      <x:c r="J5" s="17" t="str">
        <x:v>candidate</x:v>
      </x:c>
      <x:c r="K5" s="18" t="str">
        <x:v>最终策划案.md:855-867、1364-1377；5.12、附录B.4</x:v>
      </x:c>
      <x:c r="L5" s="18" t="str">
        <x:v>5.12历史样本中当前费用/报价候选；最终幸运与绑定行为尚未复算，正式发布须重新采样。1-19档不开放T1打造。</x:v>
      </x:c>
    </x:row>
    <x:row r="6" ht="26.399999618530273" hidden="0" customHeight="1">
      <x:c r="A6" s="19" t="n">
        <x:v>3</x:v>
      </x:c>
      <x:c r="B6" s="16" t="n">
        <x:v>30</x:v>
      </x:c>
      <x:c r="C6" s="16" t="n">
        <x:v>39</x:v>
      </x:c>
      <x:c r="D6" s="16" t="n">
        <x:v>27100</x:v>
      </x:c>
      <x:c r="E6" s="16" t="n">
        <x:v>54200</x:v>
      </x:c>
      <x:c r="F6" s="16" t="n">
        <x:v>12000</x:v>
      </x:c>
      <x:c r="G6" s="16" t="n">
        <x:v>60000</x:v>
      </x:c>
      <x:c r="H6" s="16" t="n">
        <x:v>180000</x:v>
      </x:c>
      <x:c r="I6" s="16" t="n">
        <x:v>600000</x:v>
      </x:c>
      <x:c r="J6" s="17" t="str">
        <x:v>candidate</x:v>
      </x:c>
      <x:c r="K6" s="18" t="str">
        <x:v>最终策划案.md:855-867、1364-1377；5.12、附录B.4</x:v>
      </x:c>
      <x:c r="L6" s="18" t="str">
        <x:v>5.12历史样本中当前费用/报价候选；最终幸运与绑定行为尚未复算，正式发布须重新采样。1-19档不开放T1打造。</x:v>
      </x:c>
    </x:row>
    <x:row r="7" ht="26.399999618530273" hidden="0" customHeight="1">
      <x:c r="A7" s="19" t="n">
        <x:v>4</x:v>
      </x:c>
      <x:c r="B7" s="16" t="n">
        <x:v>40</x:v>
      </x:c>
      <x:c r="C7" s="16" t="n">
        <x:v>49</x:v>
      </x:c>
      <x:c r="D7" s="16" t="n">
        <x:v>41200</x:v>
      </x:c>
      <x:c r="E7" s="16" t="n">
        <x:v>82400</x:v>
      </x:c>
      <x:c r="F7" s="16" t="n">
        <x:v>64000</x:v>
      </x:c>
      <x:c r="G7" s="16" t="n">
        <x:v>120000</x:v>
      </x:c>
      <x:c r="H7" s="16" t="n">
        <x:v>360000</x:v>
      </x:c>
      <x:c r="I7" s="16" t="n">
        <x:v>1200000</x:v>
      </x:c>
      <x:c r="J7" s="17" t="str">
        <x:v>candidate</x:v>
      </x:c>
      <x:c r="K7" s="18" t="str">
        <x:v>最终策划案.md:855-867、1364-1377；5.12、附录B.4</x:v>
      </x:c>
      <x:c r="L7" s="18" t="str">
        <x:v>5.12历史样本中当前费用/报价候选；最终幸运与绑定行为尚未复算，正式发布须重新采样。1-19档不开放T1打造。</x:v>
      </x:c>
    </x:row>
    <x:row r="8" ht="26.399999618530273" hidden="0" customHeight="1">
      <x:c r="A8" s="19" t="n">
        <x:v>5</x:v>
      </x:c>
      <x:c r="B8" s="16" t="n">
        <x:v>50</x:v>
      </x:c>
      <x:c r="C8" s="16"/>
      <x:c r="D8" s="16" t="n">
        <x:v>48000</x:v>
      </x:c>
      <x:c r="E8" s="16" t="n">
        <x:v>96000</x:v>
      </x:c>
      <x:c r="F8" s="16" t="n">
        <x:v>160000</x:v>
      </x:c>
      <x:c r="G8" s="16" t="n">
        <x:v>200000</x:v>
      </x:c>
      <x:c r="H8" s="16" t="n">
        <x:v>600000</x:v>
      </x:c>
      <x:c r="I8" s="16" t="n">
        <x:v>2000000</x:v>
      </x:c>
      <x:c r="J8" s="17" t="str">
        <x:v>candidate</x:v>
      </x:c>
      <x:c r="K8" s="18" t="str">
        <x:v>最终策划案.md:855-867、1364-1377；5.12、附录B.4</x:v>
      </x:c>
      <x:c r="L8" s="18" t="str">
        <x:v>5.12历史样本中当前费用/报价候选；最终幸运与绑定行为尚未复算，正式发布须重新采样。1-19档不开放T1打造。</x:v>
      </x:c>
    </x:row>
    <x:row r="9" ht="15" hidden="0" customHeight="1">
      <x:c r="A9" s="19"/>
      <x:c r="B9" s="16"/>
      <x:c r="C9" s="16"/>
      <x:c r="D9" s="16"/>
      <x:c r="E9" s="16"/>
      <x:c r="F9" s="16"/>
      <x:c r="G9" s="16"/>
      <x:c r="H9" s="16"/>
      <x:c r="I9" s="16"/>
      <x:c r="J9" s="17"/>
      <x:c r="K9" s="18"/>
      <x:c r="L9" s="18"/>
    </x:row>
  </x:sheetData>
  <x:conditionalFormatting sqref="A4:A1003">
    <x:cfRule type="expression" dxfId="239" priority="1">
      <x:formula>AND($A4&lt;&gt;"",ISBLANK(A4))</x:formula>
    </x:cfRule>
  </x:conditionalFormatting>
  <x:conditionalFormatting sqref="B4:B1003">
    <x:cfRule type="expression" dxfId="240" priority="2">
      <x:formula>AND($A4&lt;&gt;"",ISBLANK(B4))</x:formula>
    </x:cfRule>
  </x:conditionalFormatting>
  <x:conditionalFormatting sqref="D4:D1003">
    <x:cfRule type="expression" dxfId="241" priority="3">
      <x:formula>AND($A4&lt;&gt;"",ISBLANK(D4))</x:formula>
    </x:cfRule>
  </x:conditionalFormatting>
  <x:conditionalFormatting sqref="E4:E1003">
    <x:cfRule type="expression" dxfId="242" priority="4">
      <x:formula>AND($A4&lt;&gt;"",ISBLANK(E4))</x:formula>
    </x:cfRule>
  </x:conditionalFormatting>
  <x:conditionalFormatting sqref="F4:F1003">
    <x:cfRule type="expression" dxfId="243" priority="5">
      <x:formula>AND($A4&lt;&gt;"",ISBLANK(F4))</x:formula>
    </x:cfRule>
  </x:conditionalFormatting>
  <x:conditionalFormatting sqref="G4:G1003">
    <x:cfRule type="expression" dxfId="244" priority="6">
      <x:formula>AND($A4&lt;&gt;"",ISBLANK(G4))</x:formula>
    </x:cfRule>
  </x:conditionalFormatting>
  <x:conditionalFormatting sqref="H4:H1003">
    <x:cfRule type="expression" dxfId="245" priority="7">
      <x:formula>AND($A4&lt;&gt;"",ISBLANK(H4))</x:formula>
    </x:cfRule>
  </x:conditionalFormatting>
  <x:conditionalFormatting sqref="I4:I1003">
    <x:cfRule type="expression" dxfId="246" priority="8">
      <x:formula>AND($A4&lt;&gt;"",ISBLANK(I4))</x:formula>
    </x:cfRule>
  </x:conditionalFormatting>
  <x:conditionalFormatting sqref="J4:J1003">
    <x:cfRule type="containsText" dxfId="247" priority="9" operator="containsText" text="candidate"/>
    <x:cfRule type="containsText" dxfId="248" priority="10" operator="containsText" text="unverified"/>
    <x:cfRule type="containsText" dxfId="249" priority="11" operator="containsText" text="historical"/>
  </x:conditionalFormatting>
  <x:dataValidations count="1">
    <x:dataValidation type="list" sqref="J4:J1003">
      <x:formula1>"confirmed,candidate,unverified,historical"</x:formula1>
    </x:dataValidation>
  </x:dataValidation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48" hidden="0" customWidth="1"/>
    <x:col min="7" max="7" width="70" hidden="0" customWidth="1"/>
  </x:cols>
  <x:sheetData>
    <x:row r="1" ht="30" customHeight="1">
      <x:c r="A1" s="7" t="str">
        <x:v>配置编号</x:v>
      </x:c>
      <x:c r="B1" s="7" t="str">
        <x:v>技能书品质</x:v>
      </x:c>
      <x:c r="C1" s="7" t="str">
        <x:v>所得书页</x:v>
      </x:c>
      <x:c r="D1" s="7" t="str">
        <x:v>NPC基础书页产出</x:v>
      </x:c>
      <x:c r="E1" s="7" t="str">
        <x:v>参数状态</x:v>
      </x:c>
      <x:c r="F1" s="7" t="str">
        <x:v>来源章节与行号</x:v>
      </x:c>
      <x:c r="G1" s="7" t="str">
        <x:v>说明</x:v>
      </x:c>
    </x:row>
    <x:row r="2" ht="30" customHeight="1">
      <x:c r="A2" s="12" t="str">
        <x:v>id</x:v>
      </x:c>
      <x:c r="B2" s="12" t="str">
        <x:v>book_quality</x:v>
      </x:c>
      <x:c r="C2" s="12" t="str">
        <x:v>pages</x:v>
      </x:c>
      <x:c r="D2" s="12" t="str">
        <x:v>npc_basic_book_pages</x:v>
      </x:c>
      <x:c r="E2" s="12" t="str">
        <x:v>record_status</x:v>
      </x:c>
      <x:c r="F2" s="12" t="str">
        <x:v>source_ref</x:v>
      </x:c>
      <x:c r="G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string / 必填 / none</x:v>
      </x:c>
      <x:c r="F3" s="15" t="str">
        <x:v>string / 必填 / none</x:v>
      </x:c>
      <x:c r="G3" s="15" t="str">
        <x:v>string / 可空 / none</x:v>
      </x:c>
    </x:row>
    <x:row r="4" ht="15" hidden="0" customHeight="1">
      <x:c r="A4" s="19" t="n">
        <x:v>1</x:v>
      </x:c>
      <x:c r="B4" s="16" t="n">
        <x:v>1</x:v>
      </x:c>
      <x:c r="C4" s="16" t="n">
        <x:v>5</x:v>
      </x:c>
      <x:c r="D4" s="16" t="n">
        <x:v>0</x:v>
      </x:c>
      <x:c r="E4" s="17" t="str">
        <x:v>candidate</x:v>
      </x:c>
      <x:c r="F4" s="18" t="str">
        <x:v>最终策划案.md:723-725；5.8</x:v>
      </x:c>
      <x:c r="G4" s="18" t="str">
        <x:v>商店基础书只得金币，金币回收价另配；衍生物继承绑定。</x:v>
      </x:c>
    </x:row>
    <x:row r="5" ht="15" hidden="0" customHeight="1">
      <x:c r="A5" s="19" t="n">
        <x:v>2</x:v>
      </x:c>
      <x:c r="B5" s="16" t="n">
        <x:v>2</x:v>
      </x:c>
      <x:c r="C5" s="16" t="n">
        <x:v>10</x:v>
      </x:c>
      <x:c r="D5" s="16" t="n">
        <x:v>0</x:v>
      </x:c>
      <x:c r="E5" s="17" t="str">
        <x:v>candidate</x:v>
      </x:c>
      <x:c r="F5" s="18" t="str">
        <x:v>最终策划案.md:723-725；5.8</x:v>
      </x:c>
      <x:c r="G5" s="18" t="str">
        <x:v>商店基础书只得金币，金币回收价另配；衍生物继承绑定。</x:v>
      </x:c>
    </x:row>
    <x:row r="6" ht="15" hidden="0" customHeight="1">
      <x:c r="A6" s="19" t="n">
        <x:v>3</x:v>
      </x:c>
      <x:c r="B6" s="16" t="n">
        <x:v>3</x:v>
      </x:c>
      <x:c r="C6" s="16" t="n">
        <x:v>20</x:v>
      </x:c>
      <x:c r="D6" s="16" t="n">
        <x:v>0</x:v>
      </x:c>
      <x:c r="E6" s="17" t="str">
        <x:v>candidate</x:v>
      </x:c>
      <x:c r="F6" s="18" t="str">
        <x:v>最终策划案.md:723-725；5.8</x:v>
      </x:c>
      <x:c r="G6" s="18" t="str">
        <x:v>商店基础书只得金币，金币回收价另配；衍生物继承绑定。</x:v>
      </x:c>
    </x:row>
    <x:row r="7" ht="15" hidden="0" customHeight="1">
      <x:c r="A7" s="19" t="n">
        <x:v>4</x:v>
      </x:c>
      <x:c r="B7" s="16" t="n">
        <x:v>4</x:v>
      </x:c>
      <x:c r="C7" s="16" t="n">
        <x:v>50</x:v>
      </x:c>
      <x:c r="D7" s="16" t="n">
        <x:v>0</x:v>
      </x:c>
      <x:c r="E7" s="17" t="str">
        <x:v>candidate</x:v>
      </x:c>
      <x:c r="F7" s="18" t="str">
        <x:v>最终策划案.md:723-725；5.8</x:v>
      </x:c>
      <x:c r="G7" s="18" t="str">
        <x:v>商店基础书只得金币，金币回收价另配；衍生物继承绑定。</x:v>
      </x:c>
    </x:row>
    <x:row r="8" ht="15" hidden="0" customHeight="1">
      <x:c r="A8" s="19"/>
      <x:c r="B8" s="16"/>
      <x:c r="C8" s="16"/>
      <x:c r="D8" s="16"/>
      <x:c r="E8" s="17"/>
      <x:c r="F8" s="18"/>
      <x:c r="G8" s="18"/>
    </x:row>
    <x:row r="9" ht="15" hidden="0" customHeight="1">
      <x:c r="A9" s="19"/>
      <x:c r="B9" s="16"/>
      <x:c r="C9" s="16"/>
      <x:c r="D9" s="16"/>
      <x:c r="E9" s="17"/>
      <x:c r="F9" s="18"/>
      <x:c r="G9" s="18"/>
    </x:row>
  </x:sheetData>
  <x:conditionalFormatting sqref="A4:A1003">
    <x:cfRule type="expression" dxfId="250" priority="1">
      <x:formula>AND($A4&lt;&gt;"",ISBLANK(A4))</x:formula>
    </x:cfRule>
  </x:conditionalFormatting>
  <x:conditionalFormatting sqref="B4:B1003">
    <x:cfRule type="expression" dxfId="251" priority="2">
      <x:formula>AND($A4&lt;&gt;"",ISBLANK(B4))</x:formula>
    </x:cfRule>
  </x:conditionalFormatting>
  <x:conditionalFormatting sqref="C4:C1003">
    <x:cfRule type="expression" dxfId="252" priority="3">
      <x:formula>AND($A4&lt;&gt;"",ISBLANK(C4))</x:formula>
    </x:cfRule>
  </x:conditionalFormatting>
  <x:conditionalFormatting sqref="D4:D1003">
    <x:cfRule type="expression" dxfId="253" priority="4">
      <x:formula>AND($A4&lt;&gt;"",ISBLANK(D4))</x:formula>
    </x:cfRule>
  </x:conditionalFormatting>
  <x:conditionalFormatting sqref="E4:E1003">
    <x:cfRule type="containsText" dxfId="254" priority="5" operator="containsText" text="candidate"/>
    <x:cfRule type="containsText" dxfId="255" priority="6" operator="containsText" text="unverified"/>
    <x:cfRule type="containsText" dxfId="256" priority="7" operator="containsText" text="historical"/>
  </x:conditionalFormatting>
  <x:dataValidations count="1">
    <x:dataValidation type="list" sqref="E4:E1003">
      <x:formula1>"confirmed,candidate,unverified,historical"</x:formula1>
    </x:dataValidation>
  </x:dataValidation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8" hidden="0" customWidth="1"/>
    <x:col min="11" max="11" width="70" hidden="0" customWidth="1"/>
    <x:col min="12" max="12" width="25" hidden="0" customWidth="1"/>
  </x:cols>
  <x:sheetData>
    <x:row r="1" ht="30" customHeight="1">
      <x:c r="A1" s="7" t="str">
        <x:v>配置编号</x:v>
      </x:c>
      <x:c r="B1" s="7" t="str">
        <x:v>商品键</x:v>
      </x:c>
      <x:c r="C1" s="7" t="str">
        <x:v>商品名称</x:v>
      </x:c>
      <x:c r="D1" s="7" t="str">
        <x:v>支付币种</x:v>
      </x:c>
      <x:c r="E1" s="7" t="str">
        <x:v>每件内部价格</x:v>
      </x:c>
      <x:c r="F1" s="7" t="str">
        <x:v>数量</x:v>
      </x:c>
      <x:c r="G1" s="7" t="str">
        <x:v>购后绑定</x:v>
      </x:c>
      <x:c r="H1" s="7" t="str">
        <x:v>每日限购</x:v>
      </x:c>
      <x:c r="I1" s="7" t="str">
        <x:v>参数状态</x:v>
      </x:c>
      <x:c r="J1" s="7" t="str">
        <x:v>来源章节与行号</x:v>
      </x:c>
      <x:c r="K1" s="7" t="str">
        <x:v>说明</x:v>
      </x:c>
      <x:c r="L1" s="7" t="str">
        <x:v>每件金币价格</x:v>
      </x:c>
    </x:row>
    <x:row r="2" ht="30" customHeight="1">
      <x:c r="A2" s="12" t="str">
        <x:v>id</x:v>
      </x:c>
      <x:c r="B2" s="12" t="str">
        <x:v>product_key</x:v>
      </x:c>
      <x:c r="C2" s="12" t="str">
        <x:v>display_name</x:v>
      </x:c>
      <x:c r="D2" s="12" t="str">
        <x:v>payment_currency</x:v>
      </x:c>
      <x:c r="E2" s="12" t="str">
        <x:v>price_u</x:v>
      </x:c>
      <x:c r="F2" s="12" t="str">
        <x:v>quantity</x:v>
      </x:c>
      <x:c r="G2" s="12" t="str">
        <x:v>purchased_bound</x:v>
      </x:c>
      <x:c r="H2" s="12" t="str">
        <x:v>daily_limit</x:v>
      </x:c>
      <x:c r="I2" s="12" t="str">
        <x:v>record_status</x:v>
      </x:c>
      <x:c r="J2" s="12" t="str">
        <x:v>source_ref</x:v>
      </x:c>
      <x:c r="K2" s="12" t="str">
        <x:v>note</x:v>
      </x:c>
      <x:c r="L2" s="12" t="str">
        <x:v>price_gold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int / 可空 / 0.1元宝 / both</x:v>
      </x:c>
      <x:c r="F3" s="15" t="str">
        <x:v>int / 必填 / both</x:v>
      </x:c>
      <x:c r="G3" s="15" t="str">
        <x:v>bool / 必填 / both</x:v>
      </x:c>
      <x:c r="H3" s="15" t="str">
        <x:v>int / 可空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  <x:c r="L3" s="15" t="str">
        <x:v>int / 可空 / both</x:v>
      </x:c>
    </x:row>
    <x:row r="4" ht="15" hidden="0" customHeight="1">
      <x:c r="A4" s="19" t="n">
        <x:v>1</x:v>
      </x:c>
      <x:c r="B4" s="17" t="str">
        <x:v>oil_ingot</x:v>
      </x:c>
      <x:c r="C4" s="17" t="str">
        <x:v>祝福油</x:v>
      </x:c>
      <x:c r="D4" s="17" t="str">
        <x:v>ingot</x:v>
      </x:c>
      <x:c r="E4" s="16" t="n">
        <x:v>1000</x:v>
      </x:c>
      <x:c r="F4" s="16" t="n">
        <x:v>1</x:v>
      </x:c>
      <x:c r="G4" s="9" t="b">
        <x:v>1</x:v>
      </x:c>
      <x:c r="H4" s="16"/>
      <x:c r="I4" s="17" t="str">
        <x:v>candidate</x:v>
      </x:c>
      <x:c r="J4" s="18" t="str">
        <x:v>最终策划案.md:370-374、723-725；4.12、5.8</x:v>
      </x:c>
      <x:c r="K4" s="18" t="str">
        <x:v>限购/币种选择策略待定；报价必须明示选择币种，不能自动从100元宝换成200绑元。</x:v>
      </x:c>
      <x:c r="L4" s="17"/>
    </x:row>
    <x:row r="5" ht="15" hidden="0" customHeight="1">
      <x:c r="A5" s="19" t="n">
        <x:v>2</x:v>
      </x:c>
      <x:c r="B5" s="17" t="str">
        <x:v>oil_bound_ingot</x:v>
      </x:c>
      <x:c r="C5" s="17" t="str">
        <x:v>祝福油</x:v>
      </x:c>
      <x:c r="D5" s="17" t="str">
        <x:v>bound_ingot</x:v>
      </x:c>
      <x:c r="E5" s="16" t="n">
        <x:v>2000</x:v>
      </x:c>
      <x:c r="F5" s="16" t="n">
        <x:v>1</x:v>
      </x:c>
      <x:c r="G5" s="9" t="b">
        <x:v>1</x:v>
      </x:c>
      <x:c r="H5" s="16"/>
      <x:c r="I5" s="17" t="str">
        <x:v>candidate</x:v>
      </x:c>
      <x:c r="J5" s="18" t="str">
        <x:v>最终策划案.md:370-374、723-725；4.12、5.8</x:v>
      </x:c>
      <x:c r="K5" s="18" t="str">
        <x:v>限购/币种选择策略待定；报价必须明示选择币种，不能自动从100元宝换成200绑元。</x:v>
      </x:c>
    </x:row>
    <x:row r="6" ht="15" hidden="0" customHeight="1">
      <x:c r="A6" s="19" t="n">
        <x:v>3</x:v>
      </x:c>
      <x:c r="B6" s="17" t="str">
        <x:v>page_ingot</x:v>
      </x:c>
      <x:c r="C6" s="17" t="str">
        <x:v>书页</x:v>
      </x:c>
      <x:c r="D6" s="17" t="str">
        <x:v>ingot</x:v>
      </x:c>
      <x:c r="E6" s="16" t="n">
        <x:v>50</x:v>
      </x:c>
      <x:c r="F6" s="16" t="n">
        <x:v>1</x:v>
      </x:c>
      <x:c r="G6" s="9" t="b">
        <x:v>1</x:v>
      </x:c>
      <x:c r="H6" s="16"/>
      <x:c r="I6" s="17" t="str">
        <x:v>candidate</x:v>
      </x:c>
      <x:c r="J6" s="18" t="str">
        <x:v>最终策划案.md:370-374、723-725；4.12、5.8</x:v>
      </x:c>
      <x:c r="K6" s="18" t="str">
        <x:v>限购/币种选择策略待定；报价必须明示选择币种，不能自动从100元宝换成200绑元。</x:v>
      </x:c>
    </x:row>
    <x:row r="7" ht="15" hidden="0" customHeight="1">
      <x:c r="A7" s="19" t="n">
        <x:v>4</x:v>
      </x:c>
      <x:c r="B7" s="17" t="str">
        <x:v>page_bound_ingot</x:v>
      </x:c>
      <x:c r="C7" s="17" t="str">
        <x:v>书页</x:v>
      </x:c>
      <x:c r="D7" s="17" t="str">
        <x:v>bound_ingot</x:v>
      </x:c>
      <x:c r="E7" s="16" t="n">
        <x:v>100</x:v>
      </x:c>
      <x:c r="F7" s="16" t="n">
        <x:v>1</x:v>
      </x:c>
      <x:c r="G7" s="9" t="b">
        <x:v>1</x:v>
      </x:c>
      <x:c r="H7" s="16"/>
      <x:c r="I7" s="17" t="str">
        <x:v>candidate</x:v>
      </x:c>
      <x:c r="J7" s="18" t="str">
        <x:v>最终策划案.md:370-374、723-725；4.12、5.8</x:v>
      </x:c>
      <x:c r="K7" s="18" t="str">
        <x:v>限购/币种选择策略待定；报价必须明示选择币种，不能自动从100元宝换成200绑元。</x:v>
      </x:c>
    </x:row>
    <x:row r="8" ht="15" hidden="0" customHeight="1">
      <x:c r="A8" s="19" t="n">
        <x:v>5</x:v>
      </x:c>
      <x:c r="B8" s="17" t="str">
        <x:v>refine_stone</x:v>
      </x:c>
      <x:c r="C8" s="17" t="str">
        <x:v>洗炼石</x:v>
      </x:c>
      <x:c r="D8" s="17" t="str">
        <x:v>ingot_family</x:v>
      </x:c>
      <x:c r="E8" s="16"/>
      <x:c r="F8" s="16" t="n">
        <x:v>1</x:v>
      </x:c>
      <x:c r="G8" s="9" t="b">
        <x:v>1</x:v>
      </x:c>
      <x:c r="H8" s="16"/>
      <x:c r="I8" s="17" t="str">
        <x:v>unverified</x:v>
      </x:c>
      <x:c r="J8" s="18" t="str">
        <x:v>最终策划案.md:370-374、723-725；4.12、5.8</x:v>
      </x:c>
      <x:c r="K8" s="18" t="str">
        <x:v>正文明确价格待配置，禁止沿用旧20/100石价。</x:v>
      </x:c>
    </x:row>
    <x:row r="9" ht="70" hidden="0" customHeight="1">
      <x:c r="A9" s="19" t="n">
        <x:v>6</x:v>
      </x:c>
      <x:c r="B9" s="17" t="str">
        <x:v>skill_book_1</x:v>
      </x:c>
      <x:c r="C9" s="17" t="str">
        <x:v>《火球术》</x:v>
      </x:c>
      <x:c r="D9" s="17" t="str">
        <x:v>gold</x:v>
      </x:c>
      <x:c r="E9" s="16"/>
      <x:c r="F9" s="16" t="n">
        <x:v>1</x:v>
      </x:c>
      <x:c r="G9" s="9" t="b">
        <x:v>1</x:v>
      </x:c>
      <x:c r="H9" s="16"/>
      <x:c r="I9" s="17" t="str">
        <x:v>candidate</x:v>
      </x:c>
      <x:c r="J9" s="18" t="str">
        <x:v>MYF stditems源Price500；本项目development定价适配，非原NPC实际成交价核验</x:v>
      </x:c>
      <x:c r="K9" s="18" t="str">
        <x:v>金币绑定优先；本轮固定产物绑定，NPC书不允许拆页；金币回收价未定，暂拒绝分解。</x:v>
      </x:c>
      <x:c r="L9" s="17" t="n">
        <x:v>500</x:v>
      </x:c>
    </x:row>
    <x:row r="10" ht="70" customHeight="1">
      <x:c r="A10" s="19" t="n">
        <x:v>7</x:v>
      </x:c>
      <x:c r="B10" s="17" t="str">
        <x:v>skill_book_2</x:v>
      </x:c>
      <x:c r="C10" s="17" t="str">
        <x:v>《治愈术》</x:v>
      </x:c>
      <x:c r="D10" s="17" t="str">
        <x:v>gold</x:v>
      </x:c>
      <x:c r="E10" s="16"/>
      <x:c r="F10" s="16" t="n">
        <x:v>1</x:v>
      </x:c>
      <x:c r="G10" s="9" t="b">
        <x:v>1</x:v>
      </x:c>
      <x:c r="H10" s="16"/>
      <x:c r="I10" s="17" t="str">
        <x:v>candidate</x:v>
      </x:c>
      <x:c r="J10" s="18" t="str">
        <x:v>MYF stditems源Price500；本项目development定价适配，非原NPC实际成交价核验</x:v>
      </x:c>
      <x:c r="K10" s="18" t="str">
        <x:v>金币绑定优先；本轮固定产物绑定，NPC书不允许拆页；金币回收价未定，暂拒绝分解。</x:v>
      </x:c>
      <x:c r="L10" s="17" t="n">
        <x:v>500</x:v>
      </x:c>
    </x:row>
    <x:row r="11" ht="70" customHeight="1">
      <x:c r="A11" s="19" t="n">
        <x:v>8</x:v>
      </x:c>
      <x:c r="B11" s="17" t="str">
        <x:v>skill_book_3</x:v>
      </x:c>
      <x:c r="C11" s="17" t="str">
        <x:v>《基本剑术》</x:v>
      </x:c>
      <x:c r="D11" s="17" t="str">
        <x:v>gold</x:v>
      </x:c>
      <x:c r="E11" s="16"/>
      <x:c r="F11" s="16" t="n">
        <x:v>1</x:v>
      </x:c>
      <x:c r="G11" s="9" t="b">
        <x:v>1</x:v>
      </x:c>
      <x:c r="H11" s="16"/>
      <x:c r="I11" s="17" t="str">
        <x:v>candidate</x:v>
      </x:c>
      <x:c r="J11" s="18" t="str">
        <x:v>MYF stditems源Price500；本项目development定价适配，非原NPC实际成交价核验</x:v>
      </x:c>
      <x:c r="K11" s="18" t="str">
        <x:v>金币绑定优先；本轮固定产物绑定，NPC书不允许拆页；金币回收价未定，暂拒绝分解。</x:v>
      </x:c>
      <x:c r="L11" s="17" t="n">
        <x:v>500</x:v>
      </x:c>
    </x:row>
    <x:row r="12" ht="70" customHeight="1">
      <x:c r="A12" s="19" t="n">
        <x:v>9</x:v>
      </x:c>
      <x:c r="B12" s="17" t="str">
        <x:v>skill_book_4</x:v>
      </x:c>
      <x:c r="C12" s="17" t="str">
        <x:v>《精神力战法》</x:v>
      </x:c>
      <x:c r="D12" s="17" t="str">
        <x:v>gold</x:v>
      </x:c>
      <x:c r="E12" s="16"/>
      <x:c r="F12" s="16" t="n">
        <x:v>1</x:v>
      </x:c>
      <x:c r="G12" s="9" t="b">
        <x:v>1</x:v>
      </x:c>
      <x:c r="H12" s="16"/>
      <x:c r="I12" s="17" t="str">
        <x:v>candidate</x:v>
      </x:c>
      <x:c r="J12" s="18" t="str">
        <x:v>MYF stditems item22源Price600；本作development定价适配，非来源服实际成交核验</x:v>
      </x:c>
      <x:c r="K12" s="18" t="str">
        <x:v>金币绑定优先；本轮固定产物绑定，NPC书不允许拆页；金币回收价未定，暂拒绝分解。</x:v>
      </x:c>
      <x:c r="L12" s="17" t="n">
        <x:v>600</x:v>
      </x:c>
    </x:row>
    <x:row r="13" ht="70" customHeight="1">
      <x:c r="A13" s="19" t="n">
        <x:v>10</x:v>
      </x:c>
      <x:c r="B13" s="17" t="str">
        <x:v>skill_book_5</x:v>
      </x:c>
      <x:c r="C13" s="17" t="str">
        <x:v>《大火球》</x:v>
      </x:c>
      <x:c r="D13" s="17" t="str">
        <x:v>gold</x:v>
      </x:c>
      <x:c r="E13" s="16"/>
      <x:c r="F13" s="16" t="n">
        <x:v>1</x:v>
      </x:c>
      <x:c r="G13" s="9" t="b">
        <x:v>1</x:v>
      </x:c>
      <x:c r="H13" s="16"/>
      <x:c r="I13" s="17" t="str">
        <x:v>candidate</x:v>
      </x:c>
      <x:c r="J13" s="18" t="str">
        <x:v>MYF stditems item12源Price2000；本作development定价适配，非来源服实际成交核验</x:v>
      </x:c>
      <x:c r="K13" s="18" t="str">
        <x:v>金币绑定优先；本轮固定产物绑定，NPC书不允许拆页；金币回收价未定，暂拒绝分解。</x:v>
      </x:c>
      <x:c r="L13" s="17" t="n">
        <x:v>2000</x:v>
      </x:c>
    </x:row>
    <x:row r="14" ht="70" customHeight="1">
      <x:c r="A14" s="19" t="n">
        <x:v>11</x:v>
      </x:c>
      <x:c r="B14" s="17" t="str">
        <x:v>skill_book_11</x:v>
      </x:c>
      <x:c r="C14" s="17" t="str">
        <x:v>《雷电术》</x:v>
      </x:c>
      <x:c r="D14" s="17" t="str">
        <x:v>gold</x:v>
      </x:c>
      <x:c r="E14" s="16"/>
      <x:c r="F14" s="16" t="n">
        <x:v>1</x:v>
      </x:c>
      <x:c r="G14" s="9" t="b">
        <x:v>1</x:v>
      </x:c>
      <x:c r="H14" s="16"/>
      <x:c r="I14" s="17" t="str">
        <x:v>candidate</x:v>
      </x:c>
      <x:c r="J14" s="18" t="str">
        <x:v>MYF stditems item11源Price1600；本作development定价适配，非来源服实际成交核验</x:v>
      </x:c>
      <x:c r="K14" s="18" t="str">
        <x:v>金币绑定优先；本轮固定产物绑定，NPC书不允许拆页；金币回收价未定，暂拒绝分解。</x:v>
      </x:c>
      <x:c r="L14" s="17" t="n">
        <x:v>1600</x:v>
      </x:c>
    </x:row>
    <x:row r="15" ht="70" customHeight="1">
      <x:c r="A15" s="19" t="n">
        <x:v>12</x:v>
      </x:c>
      <x:c r="B15" s="17" t="str">
        <x:v>skill_book_23</x:v>
      </x:c>
      <x:c r="C15" s="17" t="str">
        <x:v>《爆裂火焰》</x:v>
      </x:c>
      <x:c r="D15" s="17" t="str">
        <x:v>gold</x:v>
      </x:c>
      <x:c r="E15" s="16"/>
      <x:c r="F15" s="16" t="n">
        <x:v>1</x:v>
      </x:c>
      <x:c r="G15" s="9" t="b">
        <x:v>1</x:v>
      </x:c>
      <x:c r="H15" s="16"/>
      <x:c r="I15" s="17" t="str">
        <x:v>candidate</x:v>
      </x:c>
      <x:c r="J15" s="18" t="str">
        <x:v>MYF stditems item14源Price3000；本作development定价适配，非来源服实际成交核验</x:v>
      </x:c>
      <x:c r="K15" s="18" t="str">
        <x:v>金币绑定优先；本轮固定产物绑定，NPC书不允许拆页；金币回收价未定，暂拒绝分解。</x:v>
      </x:c>
      <x:c r="L15" s="17" t="n">
        <x:v>3000</x:v>
      </x:c>
    </x:row>
    <x:row r="16" ht="70" customHeight="1">
      <x:c r="A16" s="19" t="n">
        <x:v>13</x:v>
      </x:c>
      <x:c r="B16" s="17" t="str">
        <x:v>skill_book_29</x:v>
      </x:c>
      <x:c r="C16" s="17" t="str">
        <x:v>《群体治疗术》</x:v>
      </x:c>
      <x:c r="D16" s="17" t="str">
        <x:v>gold</x:v>
      </x:c>
      <x:c r="E16" s="16"/>
      <x:c r="F16" s="16" t="n">
        <x:v>1</x:v>
      </x:c>
      <x:c r="G16" s="9" t="b">
        <x:v>1</x:v>
      </x:c>
      <x:c r="H16" s="16"/>
      <x:c r="I16" s="17" t="str">
        <x:v>candidate</x:v>
      </x:c>
      <x:c r="J16" s="18" t="str">
        <x:v>MYF stditems item32源Price15000；本作development定价适配，非来源服实际成交核验</x:v>
      </x:c>
      <x:c r="K16" s="18" t="str">
        <x:v>金币绑定优先；本轮固定产物绑定，NPC书不允许拆页；金币回收价未定，暂拒绝分解。</x:v>
      </x:c>
      <x:c r="L16" s="17" t="n">
        <x:v>15000</x:v>
      </x:c>
    </x:row>
    <x:row r="17" ht="70" customHeight="1">
      <x:c r="A17" s="19" t="n">
        <x:v>14</x:v>
      </x:c>
      <x:c r="B17" s="17" t="str">
        <x:v>skill_book_7</x:v>
      </x:c>
      <x:c r="C17" s="17" t="str">
        <x:v>《攻杀剑术》</x:v>
      </x:c>
      <x:c r="D17" s="17" t="str">
        <x:v>gold</x:v>
      </x:c>
      <x:c r="E17" s="16"/>
      <x:c r="F17" s="16" t="n">
        <x:v>1</x:v>
      </x:c>
      <x:c r="G17" s="9" t="b">
        <x:v>1</x:v>
      </x:c>
      <x:c r="H17" s="16"/>
      <x:c r="I17" s="17" t="str">
        <x:v>candidate</x:v>
      </x:c>
      <x:c r="J17" s="18" t="str">
        <x:v>MYF stditems item2源Price2000；本作development定价适配，非来源服实际成交核验</x:v>
      </x:c>
      <x:c r="K17" s="18" t="str">
        <x:v>金币绑定优先；本轮固定产物绑定，NPC书不允许拆页；金币回收价未定，暂拒绝分解。</x:v>
      </x:c>
      <x:c r="L17" s="17" t="n">
        <x:v>2000</x:v>
      </x:c>
    </x:row>
    <x:row r="18" ht="70" customHeight="1">
      <x:c r="A18" s="19" t="n">
        <x:v>15</x:v>
      </x:c>
      <x:c r="B18" s="17" t="str">
        <x:v>skill_book_12</x:v>
      </x:c>
      <x:c r="C18" s="17" t="str">
        <x:v>《刺杀剑术》</x:v>
      </x:c>
      <x:c r="D18" s="17" t="str">
        <x:v>gold</x:v>
      </x:c>
      <x:c r="E18" s="16"/>
      <x:c r="F18" s="16" t="n">
        <x:v>1</x:v>
      </x:c>
      <x:c r="G18" s="9" t="b">
        <x:v>1</x:v>
      </x:c>
      <x:c r="H18" s="16"/>
      <x:c r="I18" s="17" t="str">
        <x:v>candidate</x:v>
      </x:c>
      <x:c r="J18" s="18" t="str">
        <x:v>MYF stditems item3源Price5000；本作development定价适配，非来源服实际成交核验</x:v>
      </x:c>
      <x:c r="K18" s="18" t="str">
        <x:v>金币绑定优先；本轮固定产物绑定，NPC书不允许拆页；金币回收价未定，暂拒绝分解。</x:v>
      </x:c>
      <x:c r="L18" s="17" t="n">
        <x:v>5000</x:v>
      </x:c>
    </x:row>
    <x:row r="19" ht="70" customHeight="1">
      <x:c r="A19" s="19" t="n">
        <x:v>16</x:v>
      </x:c>
      <x:c r="B19" s="17" t="str">
        <x:v>skill_book_25</x:v>
      </x:c>
      <x:c r="C19" s="17" t="str">
        <x:v>《半月弯刀》</x:v>
      </x:c>
      <x:c r="D19" s="17" t="str">
        <x:v>gold</x:v>
      </x:c>
      <x:c r="E19" s="16"/>
      <x:c r="F19" s="16" t="n">
        <x:v>1</x:v>
      </x:c>
      <x:c r="G19" s="9" t="b">
        <x:v>1</x:v>
      </x:c>
      <x:c r="H19" s="16"/>
      <x:c r="I19" s="17" t="str">
        <x:v>candidate</x:v>
      </x:c>
      <x:c r="J19" s="18" t="str">
        <x:v>MYF stditems item4源Price8000；本作development定价适配，非来源服实际成交核验</x:v>
      </x:c>
      <x:c r="K19" s="18" t="str">
        <x:v>金币绑定优先；本轮固定产物绑定，NPC书不允许拆页；金币回收价未定，暂拒绝分解。</x:v>
      </x:c>
      <x:c r="L19" s="17" t="n">
        <x:v>8000</x:v>
      </x:c>
    </x:row>
    <x:row r="20" ht="70" customHeight="1">
      <x:c r="A20" s="19" t="n">
        <x:v>17</x:v>
      </x:c>
      <x:c r="B20" s="17" t="str">
        <x:v>skill_book_26</x:v>
      </x:c>
      <x:c r="C20" s="17" t="str">
        <x:v>《烈火剑法》</x:v>
      </x:c>
      <x:c r="D20" s="17" t="str">
        <x:v>gold</x:v>
      </x:c>
      <x:c r="E20" s="16"/>
      <x:c r="F20" s="16" t="n">
        <x:v>1</x:v>
      </x:c>
      <x:c r="G20" s="9" t="b">
        <x:v>1</x:v>
      </x:c>
      <x:c r="H20" s="16"/>
      <x:c r="I20" s="17" t="str">
        <x:v>candidate</x:v>
      </x:c>
      <x:c r="J20" s="18" t="str">
        <x:v>MYF stditems item6源Price20000；本作development定价适配，非来源服实际成交核验</x:v>
      </x:c>
      <x:c r="K20" s="18" t="str">
        <x:v>金币绑定优先；本轮固定产物绑定，NPC书不允许拆页；金币回收价未定，暂拒绝分解。</x:v>
      </x:c>
      <x:c r="L20" s="17" t="n">
        <x:v>20000</x:v>
      </x:c>
    </x:row>
    <x:row r="21" ht="70" customHeight="1">
      <x:c r="A21" s="19" t="n">
        <x:v>18</x:v>
      </x:c>
      <x:c r="B21" s="17" t="str">
        <x:v>skill_book_10</x:v>
      </x:c>
      <x:c r="C21" s="17" t="str">
        <x:v>《疾光电影》</x:v>
      </x:c>
      <x:c r="D21" s="17" t="str">
        <x:v>gold</x:v>
      </x:c>
      <x:c r="E21" s="16"/>
      <x:c r="F21" s="16" t="n">
        <x:v>1</x:v>
      </x:c>
      <x:c r="G21" s="9" t="b">
        <x:v>1</x:v>
      </x:c>
      <x:c r="H21" s="16"/>
      <x:c r="I21" s="17" t="str">
        <x:v>candidate</x:v>
      </x:c>
      <x:c r="J21" s="18" t="str">
        <x:v>MYF stditems item16源Price5000；本作development定价适配，非来源服实际成交核验</x:v>
      </x:c>
      <x:c r="K21" s="18" t="str">
        <x:v>金币绑定优先；本轮固定产物绑定，NPC书不允许拆页；金币回收价未定，暂拒绝分解。</x:v>
      </x:c>
      <x:c r="L21" s="17" t="n">
        <x:v>5000</x:v>
      </x:c>
    </x:row>
    <x:row r="22" ht="70" customHeight="1">
      <x:c r="A22" s="19" t="n">
        <x:v>19</x:v>
      </x:c>
      <x:c r="B22" s="17" t="str">
        <x:v>skill_book_33</x:v>
      </x:c>
      <x:c r="C22" s="17" t="str">
        <x:v>《冰咆哮》</x:v>
      </x:c>
      <x:c r="D22" s="17" t="str">
        <x:v>gold</x:v>
      </x:c>
      <x:c r="E22" s="16"/>
      <x:c r="F22" s="16" t="n">
        <x:v>1</x:v>
      </x:c>
      <x:c r="G22" s="9" t="b">
        <x:v>1</x:v>
      </x:c>
      <x:c r="H22" s="16"/>
      <x:c r="I22" s="17" t="str">
        <x:v>candidate</x:v>
      </x:c>
      <x:c r="J22" s="18" t="str">
        <x:v>MYF stditems item20源Price20000；本作development定价适配，非来源服实际成交核验</x:v>
      </x:c>
      <x:c r="K22" s="18" t="str">
        <x:v>金币绑定优先；本轮固定产物绑定，NPC书不允许拆页；金币回收价未定，暂拒绝分解。</x:v>
      </x:c>
      <x:c r="L22" s="17" t="n">
        <x:v>20000</x:v>
      </x:c>
    </x:row>
    <x:row r="23" ht="70" customHeight="1">
      <x:c r="A23" s="19" t="n">
        <x:v>20</x:v>
      </x:c>
      <x:c r="B23" s="17" t="str">
        <x:v>skill_book_24</x:v>
      </x:c>
      <x:c r="C23" s="17" t="str">
        <x:v>《地狱雷光》</x:v>
      </x:c>
      <x:c r="D23" s="17" t="str">
        <x:v>gold</x:v>
      </x:c>
      <x:c r="E23" s="16"/>
      <x:c r="F23" s="16" t="n">
        <x:v>1</x:v>
      </x:c>
      <x:c r="G23" s="9" t="b">
        <x:v>1</x:v>
      </x:c>
      <x:c r="H23" s="16"/>
      <x:c r="I23" s="17" t="str">
        <x:v>candidate</x:v>
      </x:c>
      <x:c r="J23" s="18" t="str">
        <x:v>MYF stditems item17源Price12000；本作development定价适配，非来源服实际成交核验</x:v>
      </x:c>
      <x:c r="K23" s="18" t="str">
        <x:v>金币绑定优先；本轮固定产物绑定，NPC书不允许拆页；金币回收价未定，暂拒绝分解。</x:v>
      </x:c>
      <x:c r="L23" s="17" t="n">
        <x:v>12000</x:v>
      </x:c>
    </x:row>
    <x:row r="24" ht="70" customHeight="1">
      <x:c r="A24" s="19" t="n">
        <x:v>21</x:v>
      </x:c>
      <x:c r="B24" s="17" t="str">
        <x:v>skill_book_9</x:v>
      </x:c>
      <x:c r="C24" s="17" t="str">
        <x:v>《地狱火》</x:v>
      </x:c>
      <x:c r="D24" s="17" t="str">
        <x:v>gold</x:v>
      </x:c>
      <x:c r="E24" s="16"/>
      <x:c r="F24" s="16" t="n">
        <x:v>1</x:v>
      </x:c>
      <x:c r="G24" s="9" t="b">
        <x:v>1</x:v>
      </x:c>
      <x:c r="H24" s="16"/>
      <x:c r="I24" s="17" t="str">
        <x:v>candidate</x:v>
      </x:c>
      <x:c r="J24" s="18" t="str">
        <x:v>MYF item10原Price1200作为development定价候选，非源服实库定价认证</x:v>
      </x:c>
      <x:c r="K24" s="18" t="str">
        <x:v>金币绑定优先；本轮固定产物绑定，NPC书不允许拆页；金币回收价未定，暂拒绝分解。</x:v>
      </x:c>
      <x:c r="L24" s="17" t="n">
        <x:v>1200</x:v>
      </x:c>
    </x:row>
    <x:row r="25" ht="56" customHeight="1">
      <x:c r="A25" s="19" t="n">
        <x:v>22</x:v>
      </x:c>
      <x:c r="B25" s="17" t="str">
        <x:v>development_skill_book_14</x:v>
      </x:c>
      <x:c r="C25" s="17" t="str">
        <x:v>《幽灵盾》</x:v>
      </x:c>
      <x:c r="D25" s="17" t="str">
        <x:v>gold</x:v>
      </x:c>
      <x:c r="E25" s="16"/>
      <x:c r="F25" s="16" t="n">
        <x:v>1</x:v>
      </x:c>
      <x:c r="G25" s="9" t="b">
        <x:v>1</x:v>
      </x:c>
      <x:c r="H25" s="16"/>
      <x:c r="I25" s="17" t="str">
        <x:v>candidate</x:v>
      </x:c>
      <x:c r="J25" s="18" t="str">
        <x:v>资料参考/myf/Mud2/DB/ApexM2_stditems.csv:30 Price；本作首测开发候选</x:v>
      </x:c>
      <x:c r="K25" s="18" t="str">
        <x:v>MYF原Price仅为开发报价候选；NPC购入来源禁拆书页，不认证来源服实际价格。</x:v>
      </x:c>
      <x:c r="L25" s="17" t="n">
        <x:v>3500</x:v>
      </x:c>
    </x:row>
    <x:row r="26" ht="56" customHeight="1">
      <x:c r="A26" s="19" t="n">
        <x:v>23</x:v>
      </x:c>
      <x:c r="B26" s="17" t="str">
        <x:v>development_skill_book_15</x:v>
      </x:c>
      <x:c r="C26" s="17" t="str">
        <x:v>《神圣战甲术》</x:v>
      </x:c>
      <x:c r="D26" s="17" t="str">
        <x:v>gold</x:v>
      </x:c>
      <x:c r="E26" s="16"/>
      <x:c r="F26" s="16" t="n">
        <x:v>1</x:v>
      </x:c>
      <x:c r="G26" s="9" t="b">
        <x:v>1</x:v>
      </x:c>
      <x:c r="H26" s="16"/>
      <x:c r="I26" s="17" t="str">
        <x:v>candidate</x:v>
      </x:c>
      <x:c r="J26" s="18" t="str">
        <x:v>资料参考/myf/Mud2/DB/ApexM2_stditems.csv:31 Price；本作首测开发候选</x:v>
      </x:c>
      <x:c r="K26" s="18" t="str">
        <x:v>MYF原Price仅为开发报价候选；NPC购入来源禁拆书页，不认证来源服实际价格。</x:v>
      </x:c>
      <x:c r="L26" s="17" t="n">
        <x:v>4500</x:v>
      </x:c>
    </x:row>
    <x:row r="27" ht="56" customHeight="1">
      <x:c r="A27" s="19" t="n">
        <x:v>24</x:v>
      </x:c>
      <x:c r="B27" s="17" t="str">
        <x:v>development_skill_book_31</x:v>
      </x:c>
      <x:c r="C27" s="17" t="str">
        <x:v>《魔法盾》</x:v>
      </x:c>
      <x:c r="D27" s="17" t="str">
        <x:v>gold</x:v>
      </x:c>
      <x:c r="E27" s="16"/>
      <x:c r="F27" s="16" t="n">
        <x:v>1</x:v>
      </x:c>
      <x:c r="G27" s="9" t="b">
        <x:v>1</x:v>
      </x:c>
      <x:c r="H27" s="16"/>
      <x:c r="I27" s="17" t="str">
        <x:v>candidate</x:v>
      </x:c>
      <x:c r="J27" s="18" t="str">
        <x:v>资料参考/myf/Mud2/DB/ApexM2_stditems.csv:20 Price；本作首测开发候选</x:v>
      </x:c>
      <x:c r="K27" s="18" t="str">
        <x:v>MYF原Price仅为开发报价候选；NPC购入来源禁拆书页，不认证来源服实际价格。</x:v>
      </x:c>
      <x:c r="L27" s="17" t="n">
        <x:v>15000</x:v>
      </x:c>
    </x:row>
    <x:row r="28" ht="56" customHeight="1">
      <x:c r="A28" s="19">
        <x:v>25</x:v>
      </x:c>
      <x:c r="B28" s="17" t="inlineStr">
        <x:is>
          <x:t xml:space="preserve">development_skill_book_8</x:t>
        </x:is>
      </x:c>
      <x:c r="C28" s="17" t="inlineStr">
        <x:is>
          <x:t xml:space="preserve">《抗拒火环》</x:t>
        </x:is>
      </x:c>
      <x:c r="D28" s="17" t="inlineStr">
        <x:is>
          <x:t xml:space="preserve">gold</x:t>
        </x:is>
      </x:c>
      <x:c r="E28" s="16"/>
      <x:c r="F28" s="16">
        <x:v>1</x:v>
      </x:c>
      <x:c r="G28" s="9" t="b">
        <x:v>1</x:v>
      </x:c>
      <x:c r="H28" s="16"/>
      <x:c r="I28" s="17" t="inlineStr">
        <x:is>
          <x:t xml:space="preserve">candidate</x:t>
        </x:is>
      </x:c>
      <x:c r="J28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K28" s="18" t="inlineStr">
        <x:is>
          <x:t xml:space="preserve">MYF原Price仅为开发报价候选；NPC购入来源禁拆书页，不认证来源服实际价格。</x:t>
        </x:is>
      </x:c>
      <x:c r="L28" s="17">
        <x:v>800</x:v>
      </x:c>
    </x:row>
    <x:row r="29" ht="56" customHeight="1">
      <x:c r="A29" s="19">
        <x:v>26</x:v>
      </x:c>
      <x:c r="B29" s="17" t="inlineStr">
        <x:is>
          <x:t xml:space="preserve">development_skill_book_27</x:t>
        </x:is>
      </x:c>
      <x:c r="C29" s="17" t="inlineStr">
        <x:is>
          <x:t xml:space="preserve">《野蛮冲撞》</x:t>
        </x:is>
      </x:c>
      <x:c r="D29" s="17" t="inlineStr">
        <x:is>
          <x:t xml:space="preserve">gold</x:t>
        </x:is>
      </x:c>
      <x:c r="E29" s="16"/>
      <x:c r="F29" s="16">
        <x:v>1</x:v>
      </x:c>
      <x:c r="G29" s="9" t="b">
        <x:v>1</x:v>
      </x:c>
      <x:c r="H29" s="16"/>
      <x:c r="I29" s="17" t="inlineStr">
        <x:is>
          <x:t xml:space="preserve">candidate</x:t>
        </x:is>
      </x:c>
      <x:c r="J29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K29" s="18" t="inlineStr">
        <x:is>
          <x:t xml:space="preserve">MYF原Price仅为开发报价候选；NPC购入来源禁拆书页，不认证来源服实际价格。</x:t>
        </x:is>
      </x:c>
      <x:c r="L29" s="17">
        <x:v>12000</x:v>
      </x:c>
    </x:row>
    <x:row r="30" ht="56" customHeight="1">
      <x:c r="A30" s="19">
        <x:v>27</x:v>
      </x:c>
      <x:c r="B30" s="17" t="inlineStr">
        <x:is>
          <x:t xml:space="preserve">skill_book_21</x:t>
        </x:is>
      </x:c>
      <x:c r="C30" s="17" t="inlineStr">
        <x:is>
          <x:t xml:space="preserve">《瞬息移动》</x:t>
        </x:is>
      </x:c>
      <x:c r="D30" s="17" t="inlineStr">
        <x:is>
          <x:t xml:space="preserve">gold</x:t>
        </x:is>
      </x:c>
      <x:c r="E30" s="16"/>
      <x:c r="F30" s="16">
        <x:v>1</x:v>
      </x:c>
      <x:c r="G30" s="9" t="b">
        <x:v>1</x:v>
      </x:c>
      <x:c r="H30" s="16"/>
      <x:c r="I30" s="17" t="inlineStr">
        <x:is>
          <x:t xml:space="preserve">candidate</x:t>
        </x:is>
      </x:c>
      <x:c r="J30" s="18" t="inlineStr">
        <x:is>
          <x:t xml:space="preserve">MYF Mud2/DB/ApexM2_stditems.csv:1,15（Idx13、Stdmode4、原名瞬息移动、Price2000）；仅开发来源候选，非原服实际成交认证</x:t>
        </x:is>
      </x:c>
      <x:c r="K30" s="18" t="inlineStr">
        <x:is>
          <x:t xml:space="preserve">沿既有金币绑定优先、产物绑定及NPC品质0禁拆页；此候选不认证原服实际成交。</x:t>
        </x:is>
      </x:c>
      <x:c r="L30" s="17">
        <x:v>2000</x:v>
      </x:c>
    </x:row>
  </x:sheetData>
  <x:conditionalFormatting sqref="A4:A1003">
    <x:cfRule type="expression" dxfId="257" priority="1">
      <x:formula>AND($A4&lt;&gt;"",ISBLANK(A4))</x:formula>
    </x:cfRule>
  </x:conditionalFormatting>
  <x:conditionalFormatting sqref="B4:B1003">
    <x:cfRule type="expression" dxfId="258" priority="2">
      <x:formula>AND($A4&lt;&gt;"",ISBLANK(B4))</x:formula>
    </x:cfRule>
  </x:conditionalFormatting>
  <x:conditionalFormatting sqref="C4:C1003">
    <x:cfRule type="expression" dxfId="259" priority="3">
      <x:formula>AND($A4&lt;&gt;"",ISBLANK(C4))</x:formula>
    </x:cfRule>
  </x:conditionalFormatting>
  <x:conditionalFormatting sqref="D4:D1003">
    <x:cfRule type="expression" dxfId="260" priority="4">
      <x:formula>AND($A4&lt;&gt;"",ISBLANK(D4))</x:formula>
    </x:cfRule>
  </x:conditionalFormatting>
  <x:conditionalFormatting sqref="F4:F1003">
    <x:cfRule type="expression" dxfId="261" priority="5">
      <x:formula>AND($A4&lt;&gt;"",ISBLANK(F4))</x:formula>
    </x:cfRule>
  </x:conditionalFormatting>
  <x:conditionalFormatting sqref="G4:G1003">
    <x:cfRule type="expression" dxfId="262" priority="6">
      <x:formula>AND($A4&lt;&gt;"",ISBLANK(G4))</x:formula>
    </x:cfRule>
  </x:conditionalFormatting>
  <x:conditionalFormatting sqref="I4:I1003">
    <x:cfRule type="containsText" dxfId="263" priority="7" operator="containsText" text="candidate"/>
    <x:cfRule type="containsText" dxfId="264" priority="8" operator="containsText" text="unverified"/>
    <x:cfRule type="containsText" dxfId="265" priority="9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personal_boss_daily_success_base</x:v>
      </x:c>
      <x:c r="C4" s="17" t="str">
        <x:v>5</x:v>
      </x:c>
      <x:c r="D4" s="17" t="str">
        <x:v>confirmed</x:v>
      </x:c>
      <x:c r="E4" s="18" t="str">
        <x:v>最终策划案.md:445-471、1011-1060；4.18、7.2</x:v>
      </x:c>
      <x:c r="F4" s="18" t="str"/>
    </x:row>
    <x:row r="5" ht="15" hidden="0" customHeight="1">
      <x:c r="A5" s="19" t="n">
        <x:v>2</x:v>
      </x:c>
      <x:c r="B5" s="17" t="str">
        <x:v>personal_boss_failed_consumes_success</x:v>
      </x:c>
      <x:c r="C5" s="17" t="str">
        <x:v>false</x:v>
      </x:c>
      <x:c r="D5" s="17" t="str">
        <x:v>confirmed</x:v>
      </x:c>
      <x:c r="E5" s="18" t="str">
        <x:v>最终策划案.md:445-471、1011-1060；4.18、7.2</x:v>
      </x:c>
      <x:c r="F5" s="18" t="str"/>
    </x:row>
    <x:row r="6" ht="15" hidden="0" customHeight="1">
      <x:c r="A6" s="19" t="n">
        <x:v>3</x:v>
      </x:c>
      <x:c r="B6" s="17" t="str">
        <x:v>personal_boss_cd_seconds</x:v>
      </x:c>
      <x:c r="C6" s="17" t="str">
        <x:v>[600,1800,3600]</x:v>
      </x:c>
      <x:c r="D6" s="17" t="str">
        <x:v>candidate</x:v>
      </x:c>
      <x:c r="E6" s="18" t="str">
        <x:v>最终策划案.md:445-471、1011-1060；4.18、7.2</x:v>
      </x:c>
      <x:c r="F6" s="18" t="str"/>
    </x:row>
    <x:row r="7" ht="15" hidden="0" customHeight="1">
      <x:c r="A7" s="19" t="n">
        <x:v>4</x:v>
      </x:c>
      <x:c r="B7" s="17" t="str">
        <x:v>personal_boss_failure_retry_cd_sec</x:v>
      </x:c>
      <x:c r="C7" s="17"/>
      <x:c r="D7" s="17" t="str">
        <x:v>unverified</x:v>
      </x:c>
      <x:c r="E7" s="18" t="str">
        <x:v>最终策划案.md:445-471、1011-1060；4.18、7.2</x:v>
      </x:c>
      <x:c r="F7" s="18" t="str">
        <x:v>失败重试冷却须配置。</x:v>
      </x:c>
    </x:row>
    <x:row r="8" ht="15" hidden="0" customHeight="1">
      <x:c r="A8" s="19" t="n">
        <x:v>5</x:v>
      </x:c>
      <x:c r="B8" s="17" t="str">
        <x:v>personal_boss_history_visible_limit</x:v>
      </x:c>
      <x:c r="C8" s="17" t="str">
        <x:v>20</x:v>
      </x:c>
      <x:c r="D8" s="17" t="str">
        <x:v>confirmed</x:v>
      </x:c>
      <x:c r="E8" s="18" t="str">
        <x:v>最终策划案.md:445-471、1011-1060；4.18、7.2</x:v>
      </x:c>
      <x:c r="F8" s="18" t="str"/>
    </x:row>
    <x:row r="9" ht="15" hidden="0" customHeight="1">
      <x:c r="A9" s="19" t="n">
        <x:v>6</x:v>
      </x:c>
      <x:c r="B9" s="17" t="str">
        <x:v>world_boss_daily_start_local</x:v>
      </x:c>
      <x:c r="C9" s="17" t="str">
        <x:v>["12:00","20:00"]</x:v>
      </x:c>
      <x:c r="D9" s="17" t="str">
        <x:v>confirmed</x:v>
      </x:c>
      <x:c r="E9" s="18" t="str">
        <x:v>最终策划案.md:445-471、1011-1060；4.18、7.2</x:v>
      </x:c>
      <x:c r="F9" s="18" t="str"/>
    </x:row>
    <x:row r="10" ht="15" hidden="0" customHeight="1">
      <x:c r="A10" s="19" t="n">
        <x:v>7</x:v>
      </x:c>
      <x:c r="B10" s="17" t="str">
        <x:v>world_boss_window_sec</x:v>
      </x:c>
      <x:c r="C10" s="17" t="str">
        <x:v>3600</x:v>
      </x:c>
      <x:c r="D10" s="17" t="str">
        <x:v>confirmed</x:v>
      </x:c>
      <x:c r="E10" s="18" t="str">
        <x:v>最终策划案.md:445-471、1011-1060；4.18、7.2</x:v>
      </x:c>
      <x:c r="F10" s="18" t="str"/>
    </x:row>
    <x:row r="11" ht="15" hidden="0" customHeight="1">
      <x:c r="A11" s="19" t="n">
        <x:v>8</x:v>
      </x:c>
      <x:c r="B11" s="17" t="str">
        <x:v>world_boss_return_after_kill_sec</x:v>
      </x:c>
      <x:c r="C11" s="17" t="str">
        <x:v>5</x:v>
      </x:c>
      <x:c r="D11" s="17" t="str">
        <x:v>confirmed</x:v>
      </x:c>
      <x:c r="E11" s="18" t="str">
        <x:v>最终策划案.md:445-471、1011-1060；4.18、7.2</x:v>
      </x:c>
      <x:c r="F11" s="18" t="str"/>
    </x:row>
    <x:row r="12" ht="15" hidden="0" customHeight="1">
      <x:c r="A12" s="19" t="n">
        <x:v>9</x:v>
      </x:c>
      <x:c r="B12" s="17" t="str">
        <x:v>outer_boss_weekdays</x:v>
      </x:c>
      <x:c r="C12" s="17" t="str">
        <x:v>["Wednesday","Sunday"]</x:v>
      </x:c>
      <x:c r="D12" s="17" t="str">
        <x:v>candidate</x:v>
      </x:c>
      <x:c r="E12" s="18" t="str">
        <x:v>最终策划案.md:445-471、1011-1060；4.18、7.2</x:v>
      </x:c>
      <x:c r="F12" s="18" t="str"/>
    </x:row>
    <x:row r="13" ht="15" hidden="0" customHeight="1">
      <x:c r="A13" s="19" t="n">
        <x:v>10</x:v>
      </x:c>
      <x:c r="B13" s="17" t="str">
        <x:v>outer_boss_start_local</x:v>
      </x:c>
      <x:c r="C13" s="17" t="str">
        <x:v>"20:00"</x:v>
      </x:c>
      <x:c r="D13" s="17" t="str">
        <x:v>candidate</x:v>
      </x:c>
      <x:c r="E13" s="18" t="str">
        <x:v>最终策划案.md:445-471、1011-1060；4.18、7.2</x:v>
      </x:c>
      <x:c r="F13" s="18" t="str"/>
    </x:row>
    <x:row r="14" ht="15" hidden="0" customHeight="1">
      <x:c r="A14" s="19" t="n">
        <x:v>11</x:v>
      </x:c>
      <x:c r="B14" s="17" t="str">
        <x:v>outer_boss_open_condition</x:v>
      </x:c>
      <x:c r="C14" s="17" t="str">
        <x:v>"after_server_merge"</x:v>
      </x:c>
      <x:c r="D14" s="17" t="str">
        <x:v>confirmed</x:v>
      </x:c>
      <x:c r="E14" s="18" t="str">
        <x:v>最终策划案.md:445-471、1011-1060；4.18、7.2</x:v>
      </x:c>
      <x:c r="F14" s="18" t="str"/>
    </x:row>
    <x:row r="15" ht="15" hidden="0" customHeight="1">
      <x:c r="A15" s="19" t="n">
        <x:v>12</x:v>
      </x:c>
      <x:c r="B15" s="17" t="str">
        <x:v>dungeon_daily_entry_base</x:v>
      </x:c>
      <x:c r="C15" s="17" t="str">
        <x:v>3</x:v>
      </x:c>
      <x:c r="D15" s="17" t="str">
        <x:v>confirmed</x:v>
      </x:c>
      <x:c r="E15" s="18" t="str">
        <x:v>最终策划案.md:445-471、1011-1060；4.18、7.2</x:v>
      </x:c>
      <x:c r="F15" s="18" t="str"/>
    </x:row>
    <x:row r="16" ht="15" hidden="0" customHeight="1">
      <x:c r="A16" s="19" t="n">
        <x:v>13</x:v>
      </x:c>
      <x:c r="B16" s="17" t="str">
        <x:v>dungeon_min_players</x:v>
      </x:c>
      <x:c r="C16" s="17" t="str">
        <x:v>1</x:v>
      </x:c>
      <x:c r="D16" s="17" t="str">
        <x:v>confirmed</x:v>
      </x:c>
      <x:c r="E16" s="18" t="str">
        <x:v>最终策划案.md:445-471、1011-1060；4.18、7.2</x:v>
      </x:c>
      <x:c r="F16" s="18" t="str"/>
    </x:row>
    <x:row r="17" ht="15" hidden="0" customHeight="1">
      <x:c r="A17" s="19" t="n">
        <x:v>14</x:v>
      </x:c>
      <x:c r="B17" s="17" t="str">
        <x:v>dungeon_max_players</x:v>
      </x:c>
      <x:c r="C17" s="17" t="str">
        <x:v>3</x:v>
      </x:c>
      <x:c r="D17" s="17" t="str">
        <x:v>confirmed</x:v>
      </x:c>
      <x:c r="E17" s="18" t="str">
        <x:v>最终策划案.md:445-471、1011-1060；4.18、7.2</x:v>
      </x:c>
      <x:c r="F17" s="18" t="str"/>
    </x:row>
    <x:row r="18" ht="15" hidden="0" customHeight="1">
      <x:c r="A18" s="19" t="n">
        <x:v>15</x:v>
      </x:c>
      <x:c r="B18" s="17" t="str">
        <x:v>dungeon_progression</x:v>
      </x:c>
      <x:c r="C18" s="17" t="str">
        <x:v>["mob_segment_1","mob_segment_2","elite","final_boss"]</x:v>
      </x:c>
      <x:c r="D18" s="17" t="str">
        <x:v>confirmed</x:v>
      </x:c>
      <x:c r="E18" s="18" t="str">
        <x:v>最终策划案.md:445-471、1011-1060；4.18、7.2</x:v>
      </x:c>
      <x:c r="F18" s="18" t="str"/>
    </x:row>
    <x:row r="19" ht="15" hidden="0" customHeight="1">
      <x:c r="A19" s="19" t="n">
        <x:v>16</x:v>
      </x:c>
      <x:c r="B19" s="17" t="str">
        <x:v>dungeon_timeout_sec</x:v>
      </x:c>
      <x:c r="C19" s="17" t="str">
        <x:v>300</x:v>
      </x:c>
      <x:c r="D19" s="17" t="str">
        <x:v>candidate</x:v>
      </x:c>
      <x:c r="E19" s="18" t="str">
        <x:v>最终策划案.md:445-471、1011-1060；4.18、7.2</x:v>
      </x:c>
      <x:c r="F19" s="18" t="str"/>
    </x:row>
    <x:row r="20" ht="15" hidden="0" customHeight="1">
      <x:c r="A20" s="19" t="n">
        <x:v>17</x:v>
      </x:c>
      <x:c r="B20" s="17" t="str">
        <x:v>dungeon_clear_target_sec</x:v>
      </x:c>
      <x:c r="C20" s="17" t="str">
        <x:v>[180,300]</x:v>
      </x:c>
      <x:c r="D20" s="17" t="str">
        <x:v>candidate</x:v>
      </x:c>
      <x:c r="E20" s="18" t="str">
        <x:v>最终策划案.md:445-471、1011-1060；4.18、7.2</x:v>
      </x:c>
      <x:c r="F20" s="18" t="str"/>
    </x:row>
    <x:row r="21" ht="15" hidden="0" customHeight="1">
      <x:c r="A21" s="19" t="n">
        <x:v>18</x:v>
      </x:c>
      <x:c r="B21" s="17" t="str">
        <x:v>dungeon_charge_entry_on_enter</x:v>
      </x:c>
      <x:c r="C21" s="17" t="str">
        <x:v>true</x:v>
      </x:c>
      <x:c r="D21" s="17" t="str">
        <x:v>confirmed</x:v>
      </x:c>
      <x:c r="E21" s="18" t="str">
        <x:v>最终策划案.md:445-471、1011-1060；4.18、7.2</x:v>
      </x:c>
      <x:c r="F21" s="18" t="str"/>
    </x:row>
    <x:row r="22" ht="15" hidden="0" customHeight="1">
      <x:c r="A22" s="19" t="n">
        <x:v>19</x:v>
      </x:c>
      <x:c r="B22" s="17" t="str">
        <x:v>dungeon_failure_refund_entry</x:v>
      </x:c>
      <x:c r="C22" s="17" t="str">
        <x:v>false</x:v>
      </x:c>
      <x:c r="D22" s="17" t="str">
        <x:v>confirmed</x:v>
      </x:c>
      <x:c r="E22" s="18" t="str">
        <x:v>最终策划案.md:445-471、1011-1060；4.18、7.2</x:v>
      </x:c>
      <x:c r="F22" s="18" t="str"/>
    </x:row>
    <x:row r="23" ht="15" hidden="0" customHeight="1">
      <x:c r="A23" s="19" t="n">
        <x:v>20</x:v>
      </x:c>
      <x:c r="B23" s="17" t="str">
        <x:v>recruit_leader_disconnect_dissolve_sec</x:v>
      </x:c>
      <x:c r="C23" s="17" t="str">
        <x:v>60</x:v>
      </x:c>
      <x:c r="D23" s="17" t="str">
        <x:v>confirmed</x:v>
      </x:c>
      <x:c r="E23" s="18" t="str">
        <x:v>最终策划案.md:445-471、1011-1060；4.18、7.2</x:v>
      </x:c>
      <x:c r="F23" s="18" t="str"/>
    </x:row>
    <x:row r="24" ht="15" hidden="0" customHeight="1">
      <x:c r="A24" s="19" t="n">
        <x:v>21</x:v>
      </x:c>
      <x:c r="B24" s="17" t="str">
        <x:v>kick_member_after_start</x:v>
      </x:c>
      <x:c r="C24" s="17" t="str">
        <x:v>false</x:v>
      </x:c>
      <x:c r="D24" s="17" t="str">
        <x:v>confirmed</x:v>
      </x:c>
      <x:c r="E24" s="18" t="str">
        <x:v>最终策划案.md:445-471、1011-1060；4.18、7.2</x:v>
      </x:c>
      <x:c r="F24" s="18" t="str"/>
    </x:row>
    <x:row r="25" ht="15" hidden="0" customHeight="1">
      <x:c r="A25" s="19" t="n">
        <x:v>22</x:v>
      </x:c>
      <x:c r="B25" s="17" t="str">
        <x:v>hired_ai_reward_share</x:v>
      </x:c>
      <x:c r="C25" s="17" t="str">
        <x:v>false</x:v>
      </x:c>
      <x:c r="D25" s="17" t="str">
        <x:v>confirmed</x:v>
      </x:c>
      <x:c r="E25" s="18" t="str">
        <x:v>最终策划案.md:445-471、1011-1060；4.18、7.2</x:v>
      </x:c>
      <x:c r="F25" s="18" t="str"/>
    </x:row>
    <x:row r="26" ht="15" hidden="0" customHeight="1">
      <x:c r="A26" s="19" t="n">
        <x:v>23</x:v>
      </x:c>
      <x:c r="B26" s="17" t="str">
        <x:v>dungeon_drop_visibility</x:v>
      </x:c>
      <x:c r="C26" s="17" t="str">
        <x:v>"owner_only"</x:v>
      </x:c>
      <x:c r="D26" s="17" t="str">
        <x:v>confirmed</x:v>
      </x:c>
      <x:c r="E26" s="18" t="str">
        <x:v>最终策划案.md:445-471、1011-1060；4.18、7.2</x:v>
      </x:c>
      <x:c r="F26" s="18" t="str"/>
    </x:row>
    <x:row r="27" ht="15" hidden="0" customHeight="1">
      <x:c r="A27" s="19" t="n">
        <x:v>26</x:v>
      </x:c>
      <x:c r="B27" s="17" t="str">
        <x:v>boss_materials_qualification</x:v>
      </x:c>
      <x:c r="C27" s="17"/>
      <x:c r="D27" s="17" t="str">
        <x:v>unverified</x:v>
      </x:c>
      <x:c r="E27" s="18" t="str">
        <x:v>最终策划案.md:445-471、1011-1060；4.18、7.2</x:v>
      </x:c>
      <x:c r="F27" s="18" t="str">
        <x:v>有效参与、退出、宠物归属、排名与材料总预算需逐项审定。</x:v>
      </x:c>
    </x:row>
  </x:sheetData>
  <x:conditionalFormatting sqref="A4:A1003">
    <x:cfRule type="expression" dxfId="266" priority="1">
      <x:formula>AND($A4&lt;&gt;"",ISBLANK(A4))</x:formula>
    </x:cfRule>
  </x:conditionalFormatting>
  <x:conditionalFormatting sqref="B4:B1003">
    <x:cfRule type="expression" dxfId="267" priority="2">
      <x:formula>AND($A4&lt;&gt;"",ISBLANK(B4))</x:formula>
    </x:cfRule>
  </x:conditionalFormatting>
  <x:conditionalFormatting sqref="C4:C1003">
    <x:cfRule type="expression" dxfId="268" priority="3">
      <x:formula>AND($A4&lt;&gt;"",ISBLANK(C4))</x:formula>
    </x:cfRule>
  </x:conditionalFormatting>
  <x:conditionalFormatting sqref="D4:D1003">
    <x:cfRule type="containsText" dxfId="269" priority="4" operator="containsText" text="candidate"/>
    <x:cfRule type="containsText" dxfId="270" priority="5" operator="containsText" text="unverified"/>
    <x:cfRule type="containsText" dxfId="271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1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入口需求等级</x:v>
      </x:c>
      <x:c r="C1" s="7" t="str">
        <x:v>副本模板引用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required_level</x:v>
      </x:c>
      <x:c r="C2" s="12" t="str">
        <x:v>dungeon_template_id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可空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6" t="n">
        <x:v>30</x:v>
      </x:c>
      <x:c r="C4" s="16"/>
      <x:c r="D4" s="17" t="str">
        <x:v>unverified</x:v>
      </x:c>
      <x:c r="E4" s="18" t="str">
        <x:v>最终策划案.md:461；4.18</x:v>
      </x:c>
      <x:c r="F4" s="18" t="str">
        <x:v>入口等级方向已定，怪物/奖励/模板未发布。</x:v>
      </x:c>
    </x:row>
    <x:row r="5" ht="15" hidden="0" customHeight="1">
      <x:c r="A5" s="19" t="n">
        <x:v>2</x:v>
      </x:c>
      <x:c r="B5" s="16" t="n">
        <x:v>40</x:v>
      </x:c>
      <x:c r="C5" s="16"/>
      <x:c r="D5" s="17" t="str">
        <x:v>unverified</x:v>
      </x:c>
      <x:c r="E5" s="18" t="str">
        <x:v>最终策划案.md:461；4.18</x:v>
      </x:c>
      <x:c r="F5" s="18" t="str">
        <x:v>入口等级方向已定，怪物/奖励/模板未发布。</x:v>
      </x:c>
    </x:row>
    <x:row r="6" ht="15" hidden="0" customHeight="1">
      <x:c r="A6" s="19" t="n">
        <x:v>3</x:v>
      </x:c>
      <x:c r="B6" s="16" t="n">
        <x:v>50</x:v>
      </x:c>
      <x:c r="C6" s="16"/>
      <x:c r="D6" s="17" t="str">
        <x:v>unverified</x:v>
      </x:c>
      <x:c r="E6" s="18" t="str">
        <x:v>最终策划案.md:461；4.18</x:v>
      </x:c>
      <x:c r="F6" s="18" t="str">
        <x:v>入口等级方向已定，怪物/奖励/模板未发布。</x:v>
      </x:c>
    </x:row>
    <x:row r="7" ht="15" hidden="0" customHeight="1">
      <x:c r="A7" s="19" t="n">
        <x:v>4</x:v>
      </x:c>
      <x:c r="B7" s="16" t="n">
        <x:v>60</x:v>
      </x:c>
      <x:c r="C7" s="16"/>
      <x:c r="D7" s="17" t="str">
        <x:v>unverified</x:v>
      </x:c>
      <x:c r="E7" s="18" t="str">
        <x:v>最终策划案.md:461；4.18</x:v>
      </x:c>
      <x:c r="F7" s="18" t="str">
        <x:v>入口等级方向已定，怪物/奖励/模板未发布。</x:v>
      </x:c>
    </x:row>
    <x:row r="8" ht="15" hidden="0" customHeight="1">
      <x:c r="A8" s="19"/>
      <x:c r="B8" s="16"/>
      <x:c r="C8" s="16"/>
      <x:c r="D8" s="17"/>
      <x:c r="E8" s="18"/>
      <x:c r="F8" s="18"/>
    </x:row>
    <x:row r="9" ht="15" hidden="0" customHeight="1">
      <x:c r="A9" s="19"/>
      <x:c r="B9" s="16"/>
      <x:c r="C9" s="16"/>
      <x:c r="D9" s="17"/>
      <x:c r="E9" s="18"/>
      <x:c r="F9" s="18"/>
    </x:row>
  </x:sheetData>
  <x:conditionalFormatting sqref="A4:A1003">
    <x:cfRule type="expression" dxfId="272" priority="1">
      <x:formula>AND($A4&lt;&gt;"",ISBLANK(A4))</x:formula>
    </x:cfRule>
  </x:conditionalFormatting>
  <x:conditionalFormatting sqref="B4:B1003">
    <x:cfRule type="expression" dxfId="273" priority="2">
      <x:formula>AND($A4&lt;&gt;"",ISBLANK(B4))</x:formula>
    </x:cfRule>
  </x:conditionalFormatting>
  <x:conditionalFormatting sqref="D4:D1003">
    <x:cfRule type="containsText" dxfId="274" priority="3" operator="containsText" text="candidate"/>
    <x:cfRule type="containsText" dxfId="275" priority="4" operator="containsText" text="unverified"/>
    <x:cfRule type="containsText" dxfId="276" priority="5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season_days</x:v>
      </x:c>
      <x:c r="C4" s="17" t="str">
        <x:v>15</x:v>
      </x:c>
      <x:c r="D4" s="17" t="str">
        <x:v>confirmed</x:v>
      </x:c>
      <x:c r="E4" s="18" t="str">
        <x:v>最终策划案.md:473-483；4.19</x:v>
      </x:c>
      <x:c r="F4" s="18" t="str"/>
    </x:row>
    <x:row r="5" ht="15" hidden="0" customHeight="1">
      <x:c r="A5" s="19" t="n">
        <x:v>2</x:v>
      </x:c>
      <x:c r="B5" s="17" t="str">
        <x:v>daily_challenge_max</x:v>
      </x:c>
      <x:c r="C5" s="17" t="str">
        <x:v>5</x:v>
      </x:c>
      <x:c r="D5" s="17" t="str">
        <x:v>confirmed</x:v>
      </x:c>
      <x:c r="E5" s="18" t="str">
        <x:v>最终策划案.md:473-483；4.19</x:v>
      </x:c>
      <x:c r="F5" s="18" t="str"/>
    </x:row>
    <x:row r="6" ht="15" hidden="0" customHeight="1">
      <x:c r="A6" s="19" t="n">
        <x:v>3</x:v>
      </x:c>
      <x:c r="B6" s="17" t="str">
        <x:v>daily_opponents</x:v>
      </x:c>
      <x:c r="C6" s="17" t="str">
        <x:v>3</x:v>
      </x:c>
      <x:c r="D6" s="17" t="str">
        <x:v>candidate</x:v>
      </x:c>
      <x:c r="E6" s="18" t="str">
        <x:v>最终策划案.md:473-483；4.19</x:v>
      </x:c>
      <x:c r="F6" s="18" t="str"/>
    </x:row>
    <x:row r="7" ht="15" hidden="0" customHeight="1">
      <x:c r="A7" s="19" t="n">
        <x:v>4</x:v>
      </x:c>
      <x:c r="B7" s="17" t="str">
        <x:v>battle_timeout_sec</x:v>
      </x:c>
      <x:c r="C7" s="17" t="str">
        <x:v>60</x:v>
      </x:c>
      <x:c r="D7" s="17" t="str">
        <x:v>candidate</x:v>
      </x:c>
      <x:c r="E7" s="18" t="str">
        <x:v>最终策划案.md:473-483；4.19</x:v>
      </x:c>
      <x:c r="F7" s="18" t="str"/>
    </x:row>
    <x:row r="8" ht="15" hidden="0" customHeight="1">
      <x:c r="A8" s="19" t="n">
        <x:v>5</x:v>
      </x:c>
      <x:c r="B8" s="17" t="str">
        <x:v>win_points_base</x:v>
      </x:c>
      <x:c r="C8" s="17" t="str">
        <x:v>5</x:v>
      </x:c>
      <x:c r="D8" s="17" t="str">
        <x:v>confirmed</x:v>
      </x:c>
      <x:c r="E8" s="18" t="str">
        <x:v>最终策划案.md:473-483；4.19</x:v>
      </x:c>
      <x:c r="F8" s="18" t="str"/>
    </x:row>
    <x:row r="9" ht="15" hidden="0" customHeight="1">
      <x:c r="A9" s="19" t="n">
        <x:v>6</x:v>
      </x:c>
      <x:c r="B9" s="17" t="str">
        <x:v>loss_points</x:v>
      </x:c>
      <x:c r="C9" s="17" t="str">
        <x:v>1</x:v>
      </x:c>
      <x:c r="D9" s="17" t="str">
        <x:v>confirmed</x:v>
      </x:c>
      <x:c r="E9" s="18" t="str">
        <x:v>最终策划案.md:473-483；4.19</x:v>
      </x:c>
      <x:c r="F9" s="18" t="str"/>
    </x:row>
    <x:row r="10" ht="15" hidden="0" customHeight="1">
      <x:c r="A10" s="19" t="n">
        <x:v>7</x:v>
      </x:c>
      <x:c r="B10" s="17" t="str">
        <x:v>loss_resets_attack_streak</x:v>
      </x:c>
      <x:c r="C10" s="17" t="str">
        <x:v>true</x:v>
      </x:c>
      <x:c r="D10" s="17" t="str">
        <x:v>confirmed</x:v>
      </x:c>
      <x:c r="E10" s="18" t="str">
        <x:v>最终策划案.md:473-483；4.19</x:v>
      </x:c>
      <x:c r="F10" s="18" t="str"/>
    </x:row>
    <x:row r="11" ht="15" hidden="0" customHeight="1">
      <x:c r="A11" s="19" t="n">
        <x:v>8</x:v>
      </x:c>
      <x:c r="B11" s="17" t="str">
        <x:v>defender_loses_points</x:v>
      </x:c>
      <x:c r="C11" s="17" t="str">
        <x:v>false</x:v>
      </x:c>
      <x:c r="D11" s="17" t="str">
        <x:v>confirmed</x:v>
      </x:c>
      <x:c r="E11" s="18" t="str">
        <x:v>最终策划案.md:473-483；4.19</x:v>
      </x:c>
      <x:c r="F11" s="18" t="str"/>
    </x:row>
    <x:row r="12" ht="15" hidden="0" customHeight="1">
      <x:c r="A12" s="19" t="n">
        <x:v>9</x:v>
      </x:c>
      <x:c r="B12" s="17" t="str">
        <x:v>ranking_tiebreak</x:v>
      </x:c>
      <x:c r="C12" s="17" t="str">
        <x:v>"earlier_last_challenge"</x:v>
      </x:c>
      <x:c r="D12" s="17" t="str">
        <x:v>confirmed</x:v>
      </x:c>
      <x:c r="E12" s="18" t="str">
        <x:v>最终策划案.md:473-483；4.19</x:v>
      </x:c>
      <x:c r="F12" s="18" t="str"/>
    </x:row>
    <x:row r="13" ht="15" hidden="0" customHeight="1">
      <x:c r="A13" s="19" t="n">
        <x:v>10</x:v>
      </x:c>
      <x:c r="B13" s="17" t="str">
        <x:v>settlement_sequence</x:v>
      </x:c>
      <x:c r="C13" s="17" t="str">
        <x:v>["rank_rewards","score_to_exchange_1_to_1","clear_season_score"]</x:v>
      </x:c>
      <x:c r="D13" s="17" t="str">
        <x:v>confirmed</x:v>
      </x:c>
      <x:c r="E13" s="18" t="str">
        <x:v>最终策划案.md:473-483；4.19</x:v>
      </x:c>
      <x:c r="F13" s="18" t="str"/>
    </x:row>
    <x:row r="14" ht="15" hidden="0" customHeight="1">
      <x:c r="A14" s="19" t="n">
        <x:v>11</x:v>
      </x:c>
      <x:c r="B14" s="17" t="str">
        <x:v>exchange_balance_persists</x:v>
      </x:c>
      <x:c r="C14" s="17" t="str">
        <x:v>true</x:v>
      </x:c>
      <x:c r="D14" s="17" t="str">
        <x:v>confirmed</x:v>
      </x:c>
      <x:c r="E14" s="18" t="str">
        <x:v>最终策划案.md:473-483；4.19</x:v>
      </x:c>
      <x:c r="F14" s="18" t="str"/>
    </x:row>
    <x:row r="15" ht="15" hidden="0" customHeight="1">
      <x:c r="A15" s="19" t="n">
        <x:v>12</x:v>
      </x:c>
      <x:c r="B15" s="17" t="str">
        <x:v>participation_min_challenges</x:v>
      </x:c>
      <x:c r="C15" s="17" t="str">
        <x:v>10</x:v>
      </x:c>
      <x:c r="D15" s="17" t="str">
        <x:v>confirmed</x:v>
      </x:c>
      <x:c r="E15" s="18" t="str">
        <x:v>最终策划案.md:473-483；4.19</x:v>
      </x:c>
      <x:c r="F15" s="18" t="str"/>
    </x:row>
    <x:row r="16" ht="15" hidden="0" customHeight="1">
      <x:c r="A16" s="19" t="n">
        <x:v>13</x:v>
      </x:c>
      <x:c r="B16" s="17" t="str">
        <x:v>feather_exchange_points</x:v>
      </x:c>
      <x:c r="C16" s="17" t="str">
        <x:v>250</x:v>
      </x:c>
      <x:c r="D16" s="17" t="str">
        <x:v>candidate</x:v>
      </x:c>
      <x:c r="E16" s="18" t="str">
        <x:v>最终策划案.md:473-483；4.19</x:v>
      </x:c>
      <x:c r="F16" s="18" t="str">
        <x:v>附录B历史模型用100，不能混用。</x:v>
      </x:c>
    </x:row>
    <x:row r="17" ht="15" hidden="0" customHeight="1">
      <x:c r="A17" s="19" t="n">
        <x:v>14</x:v>
      </x:c>
      <x:c r="B17" s="17" t="str">
        <x:v>feather_exchange_bound</x:v>
      </x:c>
      <x:c r="C17" s="17" t="str">
        <x:v>true</x:v>
      </x:c>
      <x:c r="D17" s="17" t="str">
        <x:v>confirmed</x:v>
      </x:c>
      <x:c r="E17" s="18" t="str">
        <x:v>最终策划案.md:473-483；4.19</x:v>
      </x:c>
      <x:c r="F17" s="18" t="str"/>
    </x:row>
    <x:row r="18" ht="15" hidden="0" customHeight="1">
      <x:c r="A18" s="19" t="n">
        <x:v>15</x:v>
      </x:c>
      <x:c r="B18" s="17" t="str">
        <x:v>challenge_records_visible_limit</x:v>
      </x:c>
      <x:c r="C18" s="17" t="str">
        <x:v>20</x:v>
      </x:c>
      <x:c r="D18" s="17" t="str">
        <x:v>confirmed</x:v>
      </x:c>
      <x:c r="E18" s="18" t="str">
        <x:v>最终策划案.md:473-483；4.19</x:v>
      </x:c>
      <x:c r="F18" s="18" t="str"/>
    </x:row>
    <x:row r="19" ht="15" hidden="0" customHeight="1">
      <x:c r="A19" s="19" t="n">
        <x:v>16</x:v>
      </x:c>
      <x:c r="B19" s="17" t="str">
        <x:v>defended_records_visible_limit</x:v>
      </x:c>
      <x:c r="C19" s="17" t="str">
        <x:v>20</x:v>
      </x:c>
      <x:c r="D19" s="17" t="str">
        <x:v>confirmed</x:v>
      </x:c>
      <x:c r="E19" s="18" t="str">
        <x:v>最终策划案.md:473-483；4.19</x:v>
      </x:c>
      <x:c r="F19" s="18" t="str"/>
    </x:row>
    <x:row r="20" ht="15" hidden="0" customHeight="1">
      <x:c r="A20" s="19" t="n">
        <x:v>17</x:v>
      </x:c>
      <x:c r="B20" s="17" t="str">
        <x:v>timeout_resolution</x:v>
      </x:c>
      <x:c r="C20" s="17" t="str">
        <x:v>"effective_surviving_hp_ratio_defender_wins_tie"</x:v>
      </x:c>
      <x:c r="D20" s="17" t="str">
        <x:v>candidate</x:v>
      </x:c>
      <x:c r="E20" s="18" t="str">
        <x:v>最终策划案.md:473-483；4.19</x:v>
      </x:c>
      <x:c r="F20" s="18" t="str"/>
    </x:row>
    <x:row r="21" ht="15" hidden="0" customHeight="1">
      <x:c r="A21" s="19" t="n">
        <x:v>18</x:v>
      </x:c>
      <x:c r="B21" s="17" t="str">
        <x:v>match_same_or_cross_job</x:v>
      </x:c>
      <x:c r="C21" s="17"/>
      <x:c r="D21" s="17" t="str">
        <x:v>unverified</x:v>
      </x:c>
      <x:c r="E21" s="18" t="str">
        <x:v>最终策划案.md:473-483；4.19</x:v>
      </x:c>
      <x:c r="F21" s="18" t="str">
        <x:v>须三职业对照确认匹配范围，不能按战力直接判胜。</x:v>
      </x:c>
    </x:row>
  </x:sheetData>
  <x:conditionalFormatting sqref="A4:A1003">
    <x:cfRule type="expression" dxfId="277" priority="1">
      <x:formula>AND($A4&lt;&gt;"",ISBLANK(A4))</x:formula>
    </x:cfRule>
  </x:conditionalFormatting>
  <x:conditionalFormatting sqref="B4:B1003">
    <x:cfRule type="expression" dxfId="278" priority="2">
      <x:formula>AND($A4&lt;&gt;"",ISBLANK(B4))</x:formula>
    </x:cfRule>
  </x:conditionalFormatting>
  <x:conditionalFormatting sqref="C4:C1003">
    <x:cfRule type="expression" dxfId="279" priority="3">
      <x:formula>AND($A4&lt;&gt;"",ISBLANK(C4))</x:formula>
    </x:cfRule>
  </x:conditionalFormatting>
  <x:conditionalFormatting sqref="D4:D1003">
    <x:cfRule type="containsText" dxfId="280" priority="4" operator="containsText" text="candidate"/>
    <x:cfRule type="containsText" dxfId="281" priority="5" operator="containsText" text="unverified"/>
    <x:cfRule type="containsText" dxfId="282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连续胜利数</x:v>
      </x:c>
      <x:c r="C1" s="7" t="str">
        <x:v>本次胜利总积分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streak_wins</x:v>
      </x:c>
      <x:c r="C2" s="12" t="str">
        <x:v>win_points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6" t="n">
        <x:v>1</x:v>
      </x:c>
      <x:c r="C4" s="16" t="n">
        <x:v>5</x:v>
      </x:c>
      <x:c r="D4" s="17" t="str">
        <x:v>confirmed</x:v>
      </x:c>
      <x:c r="E4" s="18" t="str">
        <x:v>最终策划案.md:479；4.19</x:v>
      </x:c>
      <x:c r="F4" s="18" t="str"/>
    </x:row>
    <x:row r="5" ht="15" hidden="0" customHeight="1">
      <x:c r="A5" s="19" t="n">
        <x:v>2</x:v>
      </x:c>
      <x:c r="B5" s="16" t="n">
        <x:v>3</x:v>
      </x:c>
      <x:c r="C5" s="16" t="n">
        <x:v>6</x:v>
      </x:c>
      <x:c r="D5" s="17" t="str">
        <x:v>confirmed</x:v>
      </x:c>
      <x:c r="E5" s="18" t="str">
        <x:v>最终策划案.md:479；4.19</x:v>
      </x:c>
      <x:c r="F5" s="18" t="str"/>
    </x:row>
    <x:row r="6" ht="15" hidden="0" customHeight="1">
      <x:c r="A6" s="19" t="n">
        <x:v>3</x:v>
      </x:c>
      <x:c r="B6" s="16" t="n">
        <x:v>5</x:v>
      </x:c>
      <x:c r="C6" s="16" t="n">
        <x:v>8</x:v>
      </x:c>
      <x:c r="D6" s="17" t="str">
        <x:v>confirmed</x:v>
      </x:c>
      <x:c r="E6" s="18" t="str">
        <x:v>最终策划案.md:479；4.19</x:v>
      </x:c>
      <x:c r="F6" s="18" t="str"/>
    </x:row>
    <x:row r="7" ht="15" hidden="0" customHeight="1">
      <x:c r="A7" s="19"/>
      <x:c r="B7" s="16"/>
      <x:c r="C7" s="16"/>
      <x:c r="D7" s="17"/>
      <x:c r="E7" s="18"/>
      <x:c r="F7" s="18"/>
    </x:row>
    <x:row r="8" ht="15" hidden="0" customHeight="1">
      <x:c r="A8" s="19"/>
      <x:c r="B8" s="16"/>
      <x:c r="C8" s="16"/>
      <x:c r="D8" s="17"/>
      <x:c r="E8" s="18"/>
      <x:c r="F8" s="18"/>
    </x:row>
    <x:row r="9" ht="15" hidden="0" customHeight="1">
      <x:c r="A9" s="19"/>
      <x:c r="B9" s="16"/>
      <x:c r="C9" s="16"/>
      <x:c r="D9" s="17"/>
      <x:c r="E9" s="18"/>
      <x:c r="F9" s="18"/>
    </x:row>
  </x:sheetData>
  <x:conditionalFormatting sqref="A4:A1003">
    <x:cfRule type="expression" dxfId="283" priority="1">
      <x:formula>AND($A4&lt;&gt;"",ISBLANK(A4))</x:formula>
    </x:cfRule>
  </x:conditionalFormatting>
  <x:conditionalFormatting sqref="B4:B1003">
    <x:cfRule type="expression" dxfId="284" priority="2">
      <x:formula>AND($A4&lt;&gt;"",ISBLANK(B4))</x:formula>
    </x:cfRule>
  </x:conditionalFormatting>
  <x:conditionalFormatting sqref="C4:C1003">
    <x:cfRule type="expression" dxfId="285" priority="3">
      <x:formula>AND($A4&lt;&gt;"",ISBLANK(C4))</x:formula>
    </x:cfRule>
  </x:conditionalFormatting>
  <x:conditionalFormatting sqref="D4:D1003">
    <x:cfRule type="containsText" dxfId="286" priority="4" operator="containsText" text="candidate"/>
    <x:cfRule type="containsText" dxfId="287" priority="5" operator="containsText" text="unverified"/>
    <x:cfRule type="containsText" dxfId="288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26.399999618530273" hidden="0" customHeight="1">
      <x:c r="A4" s="19" t="n">
        <x:v>1</x:v>
      </x:c>
      <x:c r="B4" s="17" t="str">
        <x:v>initial_level_cap</x:v>
      </x:c>
      <x:c r="C4" s="17" t="str">
        <x:v>50</x:v>
      </x:c>
      <x:c r="D4" s="17" t="str">
        <x:v>confirmed</x:v>
      </x:c>
      <x:c r="E4" s="18" t="str">
        <x:v>最终策划案.md:189-195、435-443、499-507、586-598；4.4、4.17、4.21、5.1</x:v>
      </x:c>
      <x:c r="F4" s="18" t="str"/>
    </x:row>
    <x:row r="5" ht="26.399999618530273" hidden="0" customHeight="1">
      <x:c r="A5" s="19" t="n">
        <x:v>2</x:v>
      </x:c>
      <x:c r="B5" s="17" t="str">
        <x:v>rebirth_level_cap_increment</x:v>
      </x:c>
      <x:c r="C5" s="17" t="str">
        <x:v>1</x:v>
      </x:c>
      <x:c r="D5" s="17" t="str">
        <x:v>confirmed</x:v>
      </x:c>
      <x:c r="E5" s="18" t="str">
        <x:v>最终策划案.md:189-195、435-443、499-507、586-598；4.4、4.17、4.21、5.1</x:v>
      </x:c>
      <x:c r="F5" s="18" t="str"/>
    </x:row>
    <x:row r="6" ht="26.399999618530273" hidden="0" customHeight="1">
      <x:c r="A6" s="19" t="n">
        <x:v>3</x:v>
      </x:c>
      <x:c r="B6" s="17" t="str">
        <x:v>rebirth_reset_progression</x:v>
      </x:c>
      <x:c r="C6" s="17" t="str">
        <x:v>false</x:v>
      </x:c>
      <x:c r="D6" s="17" t="str">
        <x:v>confirmed</x:v>
      </x:c>
      <x:c r="E6" s="18" t="str">
        <x:v>最终策划案.md:189-195、435-443、499-507、586-598；4.4、4.17、4.21、5.1</x:v>
      </x:c>
      <x:c r="F6" s="18" t="str"/>
    </x:row>
    <x:row r="7" ht="26.399999618530273" hidden="0" customHeight="1">
      <x:c r="A7" s="19" t="n">
        <x:v>4</x:v>
      </x:c>
      <x:c r="B7" s="17" t="str">
        <x:v>rebirth_grants_direct_attributes</x:v>
      </x:c>
      <x:c r="C7" s="17" t="str">
        <x:v>false</x:v>
      </x:c>
      <x:c r="D7" s="17" t="str">
        <x:v>confirmed</x:v>
      </x:c>
      <x:c r="E7" s="18" t="str">
        <x:v>最终策划案.md:189-195、435-443、499-507、586-598；4.4、4.17、4.21、5.1</x:v>
      </x:c>
      <x:c r="F7" s="18" t="str"/>
    </x:row>
    <x:row r="8" ht="26.399999618530273" hidden="0" customHeight="1">
      <x:c r="A8" s="19" t="n">
        <x:v>5</x:v>
      </x:c>
      <x:c r="B8" s="17" t="str">
        <x:v>rebirth_main_requirements</x:v>
      </x:c>
      <x:c r="C8" s="17" t="str">
        <x:v>["challenge_token","gold","bound_materials"]</x:v>
      </x:c>
      <x:c r="D8" s="17" t="str">
        <x:v>confirmed</x:v>
      </x:c>
      <x:c r="E8" s="18" t="str">
        <x:v>最终策划案.md:189-195、435-443、499-507、586-598；4.4、4.17、4.21、5.1</x:v>
      </x:c>
      <x:c r="F8" s="18" t="str"/>
    </x:row>
    <x:row r="9" ht="26.399999618530273" hidden="0" customHeight="1">
      <x:c r="A9" s="19" t="n">
        <x:v>6</x:v>
      </x:c>
      <x:c r="B9" s="17" t="str">
        <x:v>rebirth_ingot_hard_wall</x:v>
      </x:c>
      <x:c r="C9" s="17" t="str">
        <x:v>false</x:v>
      </x:c>
      <x:c r="D9" s="17" t="str">
        <x:v>confirmed</x:v>
      </x:c>
      <x:c r="E9" s="18" t="str">
        <x:v>最终策划案.md:189-195、435-443、499-507、586-598；4.4、4.17、4.21、5.1</x:v>
      </x:c>
      <x:c r="F9" s="18" t="str"/>
    </x:row>
    <x:row r="10" ht="26.399999618530273" hidden="0" customHeight="1">
      <x:c r="A10" s="19" t="n">
        <x:v>7</x:v>
      </x:c>
      <x:c r="B10" s="17" t="str">
        <x:v>pending_exp_pool_cap</x:v>
      </x:c>
      <x:c r="C10" s="17" t="str">
        <x:v>"next_level_required_exp"</x:v>
      </x:c>
      <x:c r="D10" s="17" t="str">
        <x:v>candidate</x:v>
      </x:c>
      <x:c r="E10" s="18" t="str">
        <x:v>最终策划案.md:189-195、435-443、499-507、586-598；4.4、4.17、4.21、5.1</x:v>
      </x:c>
      <x:c r="F10" s="18" t="str"/>
    </x:row>
    <x:row r="11" ht="26.399999618530273" hidden="0" customHeight="1">
      <x:c r="A11" s="19" t="n">
        <x:v>8</x:v>
      </x:c>
      <x:c r="B11" s="17" t="str">
        <x:v>over_level_exp_curve</x:v>
      </x:c>
      <x:c r="C11" s="17" t="str">
        <x:v>"round(E50*(1+0.05*j))"</x:v>
      </x:c>
      <x:c r="D11" s="17" t="str">
        <x:v>candidate</x:v>
      </x:c>
      <x:c r="E11" s="18" t="str">
        <x:v>最终策划案.md:189-195、435-443、499-507、586-598；4.4、4.17、4.21、5.1</x:v>
      </x:c>
      <x:c r="F11" s="18" t="str">
        <x:v>E50待新战斗/成长目标反推，旧值失效。</x:v>
      </x:c>
    </x:row>
    <x:row r="12" ht="26.399999618530273" hidden="0" customHeight="1">
      <x:c r="A12" s="19" t="n">
        <x:v>9</x:v>
      </x:c>
      <x:c r="B12" s="17" t="str">
        <x:v>daily_task_pool_size</x:v>
      </x:c>
      <x:c r="C12" s="17" t="str">
        <x:v>10</x:v>
      </x:c>
      <x:c r="D12" s="17" t="str">
        <x:v>confirmed</x:v>
      </x:c>
      <x:c r="E12" s="18" t="str">
        <x:v>最终策划案.md:189-195、435-443、499-507、586-598；4.4、4.17、4.21、5.1</x:v>
      </x:c>
      <x:c r="F12" s="18" t="str"/>
    </x:row>
    <x:row r="13" ht="26.399999618530273" hidden="0" customHeight="1">
      <x:c r="A13" s="19" t="n">
        <x:v>10</x:v>
      </x:c>
      <x:c r="B13" s="17" t="str">
        <x:v>daily_task_selected_count</x:v>
      </x:c>
      <x:c r="C13" s="17" t="str">
        <x:v>6</x:v>
      </x:c>
      <x:c r="D13" s="17" t="str">
        <x:v>confirmed</x:v>
      </x:c>
      <x:c r="E13" s="18" t="str">
        <x:v>最终策划案.md:189-195、435-443、499-507、586-598；4.4、4.17、4.21、5.1</x:v>
      </x:c>
      <x:c r="F13" s="18" t="str"/>
    </x:row>
    <x:row r="14" ht="26.399999618530273" hidden="0" customHeight="1">
      <x:c r="A14" s="19" t="n">
        <x:v>11</x:v>
      </x:c>
      <x:c r="B14" s="17" t="str">
        <x:v>daily_activity_reward_threshold</x:v>
      </x:c>
      <x:c r="C14" s="17" t="str">
        <x:v>100</x:v>
      </x:c>
      <x:c r="D14" s="17" t="str">
        <x:v>confirmed</x:v>
      </x:c>
      <x:c r="E14" s="18" t="str">
        <x:v>最终策划案.md:189-195、435-443、499-507、586-598；4.4、4.17、4.21、5.1</x:v>
      </x:c>
      <x:c r="F14" s="18" t="str"/>
    </x:row>
    <x:row r="15" ht="26.399999618530273" hidden="0" customHeight="1">
      <x:c r="A15" s="19" t="n">
        <x:v>12</x:v>
      </x:c>
      <x:c r="B15" s="17" t="str">
        <x:v>daily_reward_binding</x:v>
      </x:c>
      <x:c r="C15" s="17" t="str">
        <x:v>"source_specific_bound"</x:v>
      </x:c>
      <x:c r="D15" s="17" t="str">
        <x:v>confirmed</x:v>
      </x:c>
      <x:c r="E15" s="18" t="str">
        <x:v>最终策划案.md:189-195、435-443、499-507、586-598；4.4、4.17、4.21、5.1</x:v>
      </x:c>
      <x:c r="F15" s="18" t="str"/>
    </x:row>
    <x:row r="16" ht="26.399999618530273" hidden="0" customHeight="1">
      <x:c r="A16" s="19" t="n">
        <x:v>13</x:v>
      </x:c>
      <x:c r="B16" s="17" t="str">
        <x:v>achievement_scope</x:v>
      </x:c>
      <x:c r="C16" s="17" t="str">
        <x:v>"role"</x:v>
      </x:c>
      <x:c r="D16" s="17" t="str">
        <x:v>confirmed</x:v>
      </x:c>
      <x:c r="E16" s="18" t="str">
        <x:v>最终策划案.md:189-195、435-443、499-507、586-598；4.4、4.17、4.21、5.1</x:v>
      </x:c>
      <x:c r="F16" s="18" t="str"/>
    </x:row>
    <x:row r="17" ht="26.399999618530273" hidden="0" customHeight="1">
      <x:c r="A17" s="19" t="n">
        <x:v>14</x:v>
      </x:c>
      <x:c r="B17" s="17" t="str">
        <x:v>achievement_reset_on_rebirth</x:v>
      </x:c>
      <x:c r="C17" s="17" t="str">
        <x:v>false</x:v>
      </x:c>
      <x:c r="D17" s="17" t="str">
        <x:v>confirmed</x:v>
      </x:c>
      <x:c r="E17" s="18" t="str">
        <x:v>最终策划案.md:189-195、435-443、499-507、586-598；4.4、4.17、4.21、5.1</x:v>
      </x:c>
      <x:c r="F17" s="18" t="str"/>
    </x:row>
    <x:row r="18" ht="26.399999618530273" hidden="0" customHeight="1">
      <x:c r="A18" s="19" t="n">
        <x:v>15</x:v>
      </x:c>
      <x:c r="B18" s="17" t="str">
        <x:v>permanent_achievement_claim_once</x:v>
      </x:c>
      <x:c r="C18" s="17" t="str">
        <x:v>true</x:v>
      </x:c>
      <x:c r="D18" s="17" t="str">
        <x:v>confirmed</x:v>
      </x:c>
      <x:c r="E18" s="18" t="str">
        <x:v>最终策划案.md:189-195、435-443、499-507、586-598；4.4、4.17、4.21、5.1</x:v>
      </x:c>
      <x:c r="F18" s="18" t="str"/>
    </x:row>
    <x:row r="19" ht="26.399999618530273" hidden="0" customHeight="1">
      <x:c r="A19" s="19" t="n">
        <x:v>16</x:v>
      </x:c>
      <x:c r="B19" s="17" t="str">
        <x:v>codex_scope</x:v>
      </x:c>
      <x:c r="C19" s="17" t="str">
        <x:v>"role"</x:v>
      </x:c>
      <x:c r="D19" s="17" t="str">
        <x:v>confirmed</x:v>
      </x:c>
      <x:c r="E19" s="18" t="str">
        <x:v>最终策划案.md:189-195、435-443、499-507、586-598；4.4、4.17、4.21、5.1</x:v>
      </x:c>
      <x:c r="F19" s="18" t="str"/>
    </x:row>
    <x:row r="20" ht="26.399999618530273" hidden="0" customHeight="1">
      <x:c r="A20" s="19" t="n">
        <x:v>17</x:v>
      </x:c>
      <x:c r="B20" s="17" t="str">
        <x:v>codex_can_complete_lower_level_monsters</x:v>
      </x:c>
      <x:c r="C20" s="17" t="str">
        <x:v>true</x:v>
      </x:c>
      <x:c r="D20" s="17" t="str">
        <x:v>confirmed</x:v>
      </x:c>
      <x:c r="E20" s="18" t="str">
        <x:v>最终策划案.md:189-195、435-443、499-507、586-598；4.4、4.17、4.21、5.1</x:v>
      </x:c>
      <x:c r="F20" s="18" t="str"/>
    </x:row>
    <x:row r="21" ht="26.399999618530273" hidden="0" customHeight="1">
      <x:c r="A21" s="19" t="n">
        <x:v>18</x:v>
      </x:c>
      <x:c r="B21" s="17" t="str">
        <x:v>codex_attributes_budget</x:v>
      </x:c>
      <x:c r="C21" s="17" t="str">
        <x:v>"independent_growth_total"</x:v>
      </x:c>
      <x:c r="D21" s="17" t="str">
        <x:v>confirmed</x:v>
      </x:c>
      <x:c r="E21" s="18" t="str">
        <x:v>最终策划案.md:189-195、435-443、499-507、586-598；4.4、4.17、4.21、5.1</x:v>
      </x:c>
      <x:c r="F21" s="18" t="str"/>
    </x:row>
    <x:row r="22" ht="26.399999618530273" hidden="0" customHeight="1">
      <x:c r="A22" s="19" t="n">
        <x:v>19</x:v>
      </x:c>
      <x:c r="B22" s="17" t="str">
        <x:v>codex_reward_binding</x:v>
      </x:c>
      <x:c r="C22" s="17" t="str">
        <x:v>"source_specific_bound"</x:v>
      </x:c>
      <x:c r="D22" s="17" t="str">
        <x:v>confirmed</x:v>
      </x:c>
      <x:c r="E22" s="18" t="str">
        <x:v>最终策划案.md:189-195、435-443、499-507、586-598；4.4、4.17、4.21、5.1</x:v>
      </x:c>
      <x:c r="F22" s="18" t="str"/>
    </x:row>
  </x:sheetData>
  <x:conditionalFormatting sqref="A4:A1003">
    <x:cfRule type="expression" dxfId="289" priority="1">
      <x:formula>AND($A4&lt;&gt;"",ISBLANK(A4))</x:formula>
    </x:cfRule>
  </x:conditionalFormatting>
  <x:conditionalFormatting sqref="B4:B1003">
    <x:cfRule type="expression" dxfId="290" priority="2">
      <x:formula>AND($A4&lt;&gt;"",ISBLANK(B4))</x:formula>
    </x:cfRule>
  </x:conditionalFormatting>
  <x:conditionalFormatting sqref="C4:C1003">
    <x:cfRule type="expression" dxfId="291" priority="3">
      <x:formula>AND($A4&lt;&gt;"",ISBLANK(C4))</x:formula>
    </x:cfRule>
  </x:conditionalFormatting>
  <x:conditionalFormatting sqref="D4:D1003">
    <x:cfRule type="containsText" dxfId="292" priority="4" operator="containsText" text="candidate"/>
    <x:cfRule type="containsText" dxfId="293" priority="5" operator="containsText" text="unverified"/>
    <x:cfRule type="containsText" dxfId="294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稳定种类键</x:v>
      </x:c>
      <x:c r="C1" s="7" t="str">
        <x:v>魂兽名</x:v>
      </x:c>
      <x:c r="D1" s="7" t="str">
        <x:v>最高星级</x:v>
      </x:c>
      <x:c r="E1" s="7" t="str">
        <x:v>同类持有上限</x:v>
      </x:c>
      <x:c r="F1" s="7" t="str">
        <x:v>可交易角色记录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soul_key</x:v>
      </x:c>
      <x:c r="C2" s="12" t="str">
        <x:v>display_name</x:v>
      </x:c>
      <x:c r="D2" s="12" t="str">
        <x:v>max_star</x:v>
      </x:c>
      <x:c r="E2" s="12" t="str">
        <x:v>max_owned</x:v>
      </x:c>
      <x:c r="F2" s="12" t="str">
        <x:v>tradeable_record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int / 必填 / both</x:v>
      </x:c>
      <x:c r="F3" s="15" t="str">
        <x:v>bool / 必填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7" t="str">
        <x:v>soul_1</x:v>
      </x:c>
      <x:c r="C4" s="17" t="str">
        <x:v>骷髅精灵</x:v>
      </x:c>
      <x:c r="D4" s="16" t="n">
        <x:v>7</x:v>
      </x:c>
      <x:c r="E4" s="16" t="n">
        <x:v>1</x:v>
      </x:c>
      <x:c r="F4" s="9" t="b">
        <x:v>0</x:v>
      </x:c>
      <x:c r="G4" s="17" t="str">
        <x:v>confirmed</x:v>
      </x:c>
      <x:c r="H4" s="18" t="str">
        <x:v>最终策划案.md:509-521、734-752；4.22、5.9</x:v>
      </x:c>
      <x:c r="I4" s="18" t="str">
        <x:v>配置ID为本项目初始分配，不冒充参考服运行ID；基础名录已定，难度n历史值未带入。</x:v>
      </x:c>
    </x:row>
    <x:row r="5" ht="15" hidden="0" customHeight="1">
      <x:c r="A5" s="19" t="n">
        <x:v>2</x:v>
      </x:c>
      <x:c r="B5" s="17" t="str">
        <x:v>soul_2</x:v>
      </x:c>
      <x:c r="C5" s="17" t="str">
        <x:v>沃玛教主</x:v>
      </x:c>
      <x:c r="D5" s="16" t="n">
        <x:v>7</x:v>
      </x:c>
      <x:c r="E5" s="16" t="n">
        <x:v>1</x:v>
      </x:c>
      <x:c r="F5" s="9" t="b">
        <x:v>0</x:v>
      </x:c>
      <x:c r="G5" s="17" t="str">
        <x:v>confirmed</x:v>
      </x:c>
      <x:c r="H5" s="18" t="str">
        <x:v>最终策划案.md:509-521、734-752；4.22、5.9</x:v>
      </x:c>
      <x:c r="I5" s="18" t="str">
        <x:v>配置ID为本项目初始分配，不冒充参考服运行ID；基础名录已定，难度n历史值未带入。</x:v>
      </x:c>
    </x:row>
    <x:row r="6" ht="15" hidden="0" customHeight="1">
      <x:c r="A6" s="19" t="n">
        <x:v>3</x:v>
      </x:c>
      <x:c r="B6" s="17" t="str">
        <x:v>soul_3</x:v>
      </x:c>
      <x:c r="C6" s="17" t="str">
        <x:v>祖玛教主</x:v>
      </x:c>
      <x:c r="D6" s="16" t="n">
        <x:v>7</x:v>
      </x:c>
      <x:c r="E6" s="16" t="n">
        <x:v>1</x:v>
      </x:c>
      <x:c r="F6" s="9" t="b">
        <x:v>0</x:v>
      </x:c>
      <x:c r="G6" s="17" t="str">
        <x:v>confirmed</x:v>
      </x:c>
      <x:c r="H6" s="18" t="str">
        <x:v>最终策划案.md:509-521、734-752；4.22、5.9</x:v>
      </x:c>
      <x:c r="I6" s="18" t="str">
        <x:v>配置ID为本项目初始分配，不冒充参考服运行ID；基础名录已定，难度n历史值未带入。</x:v>
      </x:c>
    </x:row>
    <x:row r="7" ht="15" hidden="0" customHeight="1">
      <x:c r="A7" s="19" t="n">
        <x:v>4</x:v>
      </x:c>
      <x:c r="B7" s="17" t="str">
        <x:v>soul_4</x:v>
      </x:c>
      <x:c r="C7" s="17" t="str">
        <x:v>触龙神</x:v>
      </x:c>
      <x:c r="D7" s="16" t="n">
        <x:v>7</x:v>
      </x:c>
      <x:c r="E7" s="16" t="n">
        <x:v>1</x:v>
      </x:c>
      <x:c r="F7" s="9" t="b">
        <x:v>0</x:v>
      </x:c>
      <x:c r="G7" s="17" t="str">
        <x:v>confirmed</x:v>
      </x:c>
      <x:c r="H7" s="18" t="str">
        <x:v>最终策划案.md:509-521、734-752；4.22、5.9</x:v>
      </x:c>
      <x:c r="I7" s="18" t="str">
        <x:v>配置ID为本项目初始分配，不冒充参考服运行ID；基础名录已定，难度n历史值未带入。</x:v>
      </x:c>
    </x:row>
    <x:row r="8" ht="15" hidden="0" customHeight="1">
      <x:c r="A8" s="19" t="n">
        <x:v>5</x:v>
      </x:c>
      <x:c r="B8" s="17" t="str">
        <x:v>soul_5</x:v>
      </x:c>
      <x:c r="C8" s="17" t="str">
        <x:v>黄泉教主</x:v>
      </x:c>
      <x:c r="D8" s="16" t="n">
        <x:v>7</x:v>
      </x:c>
      <x:c r="E8" s="16" t="n">
        <x:v>1</x:v>
      </x:c>
      <x:c r="F8" s="9" t="b">
        <x:v>0</x:v>
      </x:c>
      <x:c r="G8" s="17" t="str">
        <x:v>confirmed</x:v>
      </x:c>
      <x:c r="H8" s="18" t="str">
        <x:v>最终策划案.md:509-521、734-752；4.22、5.9</x:v>
      </x:c>
      <x:c r="I8" s="18" t="str">
        <x:v>配置ID为本项目初始分配，不冒充参考服运行ID；基础名录已定，难度n历史值未带入。</x:v>
      </x:c>
    </x:row>
    <x:row r="9" ht="15" hidden="0" customHeight="1">
      <x:c r="A9" s="19" t="n">
        <x:v>6</x:v>
      </x:c>
      <x:c r="B9" s="17" t="str">
        <x:v>soul_6</x:v>
      </x:c>
      <x:c r="C9" s="17" t="str">
        <x:v>虹魔教主</x:v>
      </x:c>
      <x:c r="D9" s="16" t="n">
        <x:v>7</x:v>
      </x:c>
      <x:c r="E9" s="16" t="n">
        <x:v>1</x:v>
      </x:c>
      <x:c r="F9" s="9" t="b">
        <x:v>0</x:v>
      </x:c>
      <x:c r="G9" s="17" t="str">
        <x:v>confirmed</x:v>
      </x:c>
      <x:c r="H9" s="18" t="str">
        <x:v>最终策划案.md:509-521、734-752；4.22、5.9</x:v>
      </x:c>
      <x:c r="I9" s="18" t="str">
        <x:v>配置ID为本项目初始分配，不冒充参考服运行ID；基础名录已定，难度n历史值未带入。</x:v>
      </x:c>
    </x:row>
    <x:row r="10" ht="15" hidden="0" customHeight="1">
      <x:c r="A10" s="19" t="n">
        <x:v>7</x:v>
      </x:c>
      <x:c r="B10" s="17" t="str">
        <x:v>soul_7</x:v>
      </x:c>
      <x:c r="C10" s="17" t="str">
        <x:v>牛魔王</x:v>
      </x:c>
      <x:c r="D10" s="16" t="n">
        <x:v>7</x:v>
      </x:c>
      <x:c r="E10" s="16" t="n">
        <x:v>1</x:v>
      </x:c>
      <x:c r="F10" s="9" t="b">
        <x:v>0</x:v>
      </x:c>
      <x:c r="G10" s="17" t="str">
        <x:v>confirmed</x:v>
      </x:c>
      <x:c r="H10" s="18" t="str">
        <x:v>最终策划案.md:509-521、734-752；4.22、5.9</x:v>
      </x:c>
      <x:c r="I10" s="18" t="str">
        <x:v>配置ID为本项目初始分配，不冒充参考服运行ID；基础名录已定，难度n历史值未带入。</x:v>
      </x:c>
    </x:row>
    <x:row r="11" ht="15" hidden="0" customHeight="1">
      <x:c r="A11" s="19" t="n">
        <x:v>8</x:v>
      </x:c>
      <x:c r="B11" s="17" t="str">
        <x:v>soul_8</x:v>
      </x:c>
      <x:c r="C11" s="17" t="str">
        <x:v>魔龙教主</x:v>
      </x:c>
      <x:c r="D11" s="16" t="n">
        <x:v>7</x:v>
      </x:c>
      <x:c r="E11" s="16" t="n">
        <x:v>1</x:v>
      </x:c>
      <x:c r="F11" s="9" t="b">
        <x:v>0</x:v>
      </x:c>
      <x:c r="G11" s="17" t="str">
        <x:v>confirmed</x:v>
      </x:c>
      <x:c r="H11" s="18" t="str">
        <x:v>最终策划案.md:509-521、734-752；4.22、5.9</x:v>
      </x:c>
      <x:c r="I11" s="18" t="str">
        <x:v>配置ID为本项目初始分配，不冒充参考服运行ID；基础名录已定，难度n历史值未带入。</x:v>
      </x:c>
    </x:row>
    <x:row r="12" ht="15" hidden="0" customHeight="1">
      <x:c r="A12" s="19" t="n">
        <x:v>9</x:v>
      </x:c>
      <x:c r="B12" s="17" t="str">
        <x:v>soul_9</x:v>
      </x:c>
      <x:c r="C12" s="17" t="str">
        <x:v>赤月恶魔</x:v>
      </x:c>
      <x:c r="D12" s="16" t="n">
        <x:v>7</x:v>
      </x:c>
      <x:c r="E12" s="16" t="n">
        <x:v>1</x:v>
      </x:c>
      <x:c r="F12" s="9" t="b">
        <x:v>0</x:v>
      </x:c>
      <x:c r="G12" s="17" t="str">
        <x:v>confirmed</x:v>
      </x:c>
      <x:c r="H12" s="18" t="str">
        <x:v>最终策划案.md:509-521、734-752；4.22、5.9</x:v>
      </x:c>
      <x:c r="I12" s="18" t="str">
        <x:v>配置ID为本项目初始分配，不冒充参考服运行ID；基础名录已定，难度n历史值未带入。</x:v>
      </x:c>
    </x:row>
    <x:row r="13" ht="15" hidden="0" customHeight="1">
      <x:c r="A13" s="19" t="n">
        <x:v>10</x:v>
      </x:c>
      <x:c r="B13" s="17" t="str">
        <x:v>soul_10</x:v>
      </x:c>
      <x:c r="C13" s="17" t="str">
        <x:v>暗之祖玛教主</x:v>
      </x:c>
      <x:c r="D13" s="16" t="n">
        <x:v>7</x:v>
      </x:c>
      <x:c r="E13" s="16" t="n">
        <x:v>1</x:v>
      </x:c>
      <x:c r="F13" s="9" t="b">
        <x:v>0</x:v>
      </x:c>
      <x:c r="G13" s="17" t="str">
        <x:v>confirmed</x:v>
      </x:c>
      <x:c r="H13" s="18" t="str">
        <x:v>最终策划案.md:509-521、734-752；4.22、5.9</x:v>
      </x:c>
      <x:c r="I13" s="18" t="str">
        <x:v>配置ID为本项目初始分配，不冒充参考服运行ID；基础名录已定，难度n历史值未带入。</x:v>
      </x:c>
    </x:row>
    <x:row r="14" ht="15" hidden="0" customHeight="1">
      <x:c r="A14" s="19" t="n">
        <x:v>11</x:v>
      </x:c>
      <x:c r="B14" s="17" t="str">
        <x:v>soul_11</x:v>
      </x:c>
      <x:c r="C14" s="17" t="str">
        <x:v>暗之虹魔教主</x:v>
      </x:c>
      <x:c r="D14" s="16" t="n">
        <x:v>7</x:v>
      </x:c>
      <x:c r="E14" s="16" t="n">
        <x:v>1</x:v>
      </x:c>
      <x:c r="F14" s="9" t="b">
        <x:v>0</x:v>
      </x:c>
      <x:c r="G14" s="17" t="str">
        <x:v>confirmed</x:v>
      </x:c>
      <x:c r="H14" s="18" t="str">
        <x:v>最终策划案.md:509-521、734-752；4.22、5.9</x:v>
      </x:c>
      <x:c r="I14" s="18" t="str">
        <x:v>配置ID为本项目初始分配，不冒充参考服运行ID；基础名录已定，难度n历史值未带入。</x:v>
      </x:c>
    </x:row>
    <x:row r="15" ht="15" hidden="0" customHeight="1">
      <x:c r="A15" s="19" t="n">
        <x:v>12</x:v>
      </x:c>
      <x:c r="B15" s="17" t="str">
        <x:v>soul_12</x:v>
      </x:c>
      <x:c r="C15" s="17" t="str">
        <x:v>暗之牛魔王</x:v>
      </x:c>
      <x:c r="D15" s="16" t="n">
        <x:v>7</x:v>
      </x:c>
      <x:c r="E15" s="16" t="n">
        <x:v>1</x:v>
      </x:c>
      <x:c r="F15" s="9" t="b">
        <x:v>0</x:v>
      </x:c>
      <x:c r="G15" s="17" t="str">
        <x:v>confirmed</x:v>
      </x:c>
      <x:c r="H15" s="18" t="str">
        <x:v>最终策划案.md:509-521、734-752；4.22、5.9</x:v>
      </x:c>
      <x:c r="I15" s="18" t="str">
        <x:v>配置ID为本项目初始分配，不冒充参考服运行ID；基础名录已定，难度n历史值未带入。</x:v>
      </x:c>
    </x:row>
    <x:row r="16" ht="15" hidden="0" customHeight="1">
      <x:c r="A16" s="19" t="n">
        <x:v>13</x:v>
      </x:c>
      <x:c r="B16" s="17" t="str">
        <x:v>soul_13</x:v>
      </x:c>
      <x:c r="C16" s="17" t="str">
        <x:v>暗之魔龙教主</x:v>
      </x:c>
      <x:c r="D16" s="16" t="n">
        <x:v>7</x:v>
      </x:c>
      <x:c r="E16" s="16" t="n">
        <x:v>1</x:v>
      </x:c>
      <x:c r="F16" s="9" t="b">
        <x:v>0</x:v>
      </x:c>
      <x:c r="G16" s="17" t="str">
        <x:v>confirmed</x:v>
      </x:c>
      <x:c r="H16" s="18" t="str">
        <x:v>最终策划案.md:509-521、734-752；4.22、5.9</x:v>
      </x:c>
      <x:c r="I16" s="18" t="str">
        <x:v>配置ID为本项目初始分配，不冒充参考服运行ID；基础名录已定，难度n历史值未带入。</x:v>
      </x:c>
    </x:row>
  </x:sheetData>
  <x:conditionalFormatting sqref="A4:A1003">
    <x:cfRule type="expression" dxfId="295" priority="1">
      <x:formula>AND($A4&lt;&gt;"",ISBLANK(A4))</x:formula>
    </x:cfRule>
  </x:conditionalFormatting>
  <x:conditionalFormatting sqref="B4:B1003">
    <x:cfRule type="expression" dxfId="296" priority="2">
      <x:formula>AND($A4&lt;&gt;"",ISBLANK(B4))</x:formula>
    </x:cfRule>
  </x:conditionalFormatting>
  <x:conditionalFormatting sqref="C4:C1003">
    <x:cfRule type="expression" dxfId="297" priority="3">
      <x:formula>AND($A4&lt;&gt;"",ISBLANK(C4))</x:formula>
    </x:cfRule>
  </x:conditionalFormatting>
  <x:conditionalFormatting sqref="D4:D1003">
    <x:cfRule type="expression" dxfId="298" priority="4">
      <x:formula>AND($A4&lt;&gt;"",ISBLANK(D4))</x:formula>
    </x:cfRule>
  </x:conditionalFormatting>
  <x:conditionalFormatting sqref="E4:E1003">
    <x:cfRule type="expression" dxfId="299" priority="5">
      <x:formula>AND($A4&lt;&gt;"",ISBLANK(E4))</x:formula>
    </x:cfRule>
  </x:conditionalFormatting>
  <x:conditionalFormatting sqref="F4:F1003">
    <x:cfRule type="expression" dxfId="300" priority="6">
      <x:formula>AND($A4&lt;&gt;"",ISBLANK(F4))</x:formula>
    </x:cfRule>
  </x:conditionalFormatting>
  <x:conditionalFormatting sqref="G4:G1003">
    <x:cfRule type="containsText" dxfId="301" priority="7" operator="containsText" text="candidate"/>
    <x:cfRule type="containsText" dxfId="302" priority="8" operator="containsText" text="unverified"/>
    <x:cfRule type="containsText" dxfId="303" priority="9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54" hidden="0" customWidth="1"/>
    <x:col min="7" max="7" width="54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词条池</x:v>
      </x:c>
      <x:c r="C1" s="7" t="str">
        <x:v>属性键</x:v>
      </x:c>
      <x:c r="D1" s="7" t="str">
        <x:v>词条名</x:v>
      </x:c>
      <x:c r="E1" s="7" t="str">
        <x:v>数值单位</x:v>
      </x:c>
      <x:c r="F1" s="7" t="str">
        <x:v>逐星数值</x:v>
      </x:c>
      <x:c r="G1" s="7" t="str">
        <x:v>触发与适用目标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pool_key</x:v>
      </x:c>
      <x:c r="C2" s="12" t="str">
        <x:v>attr_key</x:v>
      </x:c>
      <x:c r="D2" s="12" t="str">
        <x:v>display_name</x:v>
      </x:c>
      <x:c r="E2" s="12" t="str">
        <x:v>unit_definition</x:v>
      </x:c>
      <x:c r="F2" s="12" t="str">
        <x:v>star_values</x:v>
      </x:c>
      <x:c r="G2" s="12" t="str">
        <x:v>trigger_and_target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string / 可空 / both</x:v>
      </x:c>
      <x:c r="F3" s="15" t="str">
        <x:v>json / 可空 / both</x:v>
      </x:c>
      <x:c r="G3" s="15" t="str">
        <x:v>json / 可空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 t="n">
        <x:v>1</x:v>
      </x:c>
      <x:c r="B4" s="17" t="str">
        <x:v>damage</x:v>
      </x:c>
      <x:c r="C4" s="17" t="str">
        <x:v>attack</x:v>
      </x:c>
      <x:c r="D4" s="17" t="str">
        <x:v>攻击</x:v>
      </x:c>
      <x:c r="E4" s="17"/>
      <x:c r="F4" s="17"/>
      <x:c r="G4" s="17"/>
      <x:c r="H4" s="17" t="str">
        <x:v>unverified</x:v>
      </x:c>
      <x:c r="I4" s="18" t="str">
        <x:v>最终策划案.md:736-750；5.9</x:v>
      </x:c>
      <x:c r="J4" s="18" t="str">
        <x:v>每池自选1条免费切换；属性单位、触发、叠加和预算待审定。</x:v>
      </x:c>
    </x:row>
    <x:row r="5" ht="15" hidden="0" customHeight="1">
      <x:c r="A5" s="19" t="n">
        <x:v>2</x:v>
      </x:c>
      <x:c r="B5" s="17" t="str">
        <x:v>damage</x:v>
      </x:c>
      <x:c r="C5" s="17" t="str">
        <x:v>magic</x:v>
      </x:c>
      <x:c r="D5" s="17" t="str">
        <x:v>魔法</x:v>
      </x:c>
      <x:c r="E5" s="17"/>
      <x:c r="F5" s="17"/>
      <x:c r="G5" s="17"/>
      <x:c r="H5" s="17" t="str">
        <x:v>unverified</x:v>
      </x:c>
      <x:c r="I5" s="18" t="str">
        <x:v>最终策划案.md:736-750；5.9</x:v>
      </x:c>
      <x:c r="J5" s="18" t="str">
        <x:v>每池自选1条免费切换；属性单位、触发、叠加和预算待审定。</x:v>
      </x:c>
    </x:row>
    <x:row r="6" ht="15" hidden="0" customHeight="1">
      <x:c r="A6" s="19" t="n">
        <x:v>3</x:v>
      </x:c>
      <x:c r="B6" s="17" t="str">
        <x:v>damage</x:v>
      </x:c>
      <x:c r="C6" s="17" t="str">
        <x:v>tao</x:v>
      </x:c>
      <x:c r="D6" s="17" t="str">
        <x:v>道术</x:v>
      </x:c>
      <x:c r="E6" s="17"/>
      <x:c r="F6" s="17"/>
      <x:c r="G6" s="17"/>
      <x:c r="H6" s="17" t="str">
        <x:v>unverified</x:v>
      </x:c>
      <x:c r="I6" s="18" t="str">
        <x:v>最终策划案.md:736-750；5.9</x:v>
      </x:c>
      <x:c r="J6" s="18" t="str">
        <x:v>每池自选1条免费切换；属性单位、触发、叠加和预算待审定。</x:v>
      </x:c>
    </x:row>
    <x:row r="7" ht="15" hidden="0" customHeight="1">
      <x:c r="A7" s="19" t="n">
        <x:v>4</x:v>
      </x:c>
      <x:c r="B7" s="17" t="str">
        <x:v>damage</x:v>
      </x:c>
      <x:c r="C7" s="17" t="str">
        <x:v>element_damage</x:v>
      </x:c>
      <x:c r="D7" s="17" t="str">
        <x:v>元素增伤</x:v>
      </x:c>
      <x:c r="E7" s="17"/>
      <x:c r="F7" s="17"/>
      <x:c r="G7" s="17"/>
      <x:c r="H7" s="17" t="str">
        <x:v>unverified</x:v>
      </x:c>
      <x:c r="I7" s="18" t="str">
        <x:v>最终策划案.md:736-750；5.9</x:v>
      </x:c>
      <x:c r="J7" s="18" t="str">
        <x:v>每池自选1条免费切换；属性单位、触发、叠加和预算待审定。</x:v>
      </x:c>
    </x:row>
    <x:row r="8" ht="15" hidden="0" customHeight="1">
      <x:c r="A8" s="19" t="n">
        <x:v>5</x:v>
      </x:c>
      <x:c r="B8" s="17" t="str">
        <x:v>damage</x:v>
      </x:c>
      <x:c r="C8" s="17" t="str">
        <x:v>fixed_damage</x:v>
      </x:c>
      <x:c r="D8" s="17" t="str">
        <x:v>固定伤害</x:v>
      </x:c>
      <x:c r="E8" s="17"/>
      <x:c r="F8" s="17"/>
      <x:c r="G8" s="17"/>
      <x:c r="H8" s="17" t="str">
        <x:v>unverified</x:v>
      </x:c>
      <x:c r="I8" s="18" t="str">
        <x:v>最终策划案.md:736-750；5.9</x:v>
      </x:c>
      <x:c r="J8" s="18" t="str">
        <x:v>每池自选1条免费切换；属性单位、触发、叠加和预算待审定。</x:v>
      </x:c>
    </x:row>
    <x:row r="9" ht="15" hidden="0" customHeight="1">
      <x:c r="A9" s="19" t="n">
        <x:v>6</x:v>
      </x:c>
      <x:c r="B9" s="17" t="str">
        <x:v>damage</x:v>
      </x:c>
      <x:c r="C9" s="17" t="str">
        <x:v>lucky_strike</x:v>
      </x:c>
      <x:c r="D9" s="17" t="str">
        <x:v>幸运一击相关</x:v>
      </x:c>
      <x:c r="E9" s="17"/>
      <x:c r="F9" s="17"/>
      <x:c r="G9" s="17"/>
      <x:c r="H9" s="17" t="str">
        <x:v>unverified</x:v>
      </x:c>
      <x:c r="I9" s="18" t="str">
        <x:v>最终策划案.md:736-750；5.9</x:v>
      </x:c>
      <x:c r="J9" s="18" t="str">
        <x:v>每池自选1条免费切换；属性单位、触发、叠加和预算待审定。</x:v>
      </x:c>
    </x:row>
    <x:row r="10" ht="15" hidden="0" customHeight="1">
      <x:c r="A10" s="19" t="n">
        <x:v>7</x:v>
      </x:c>
      <x:c r="B10" s="17" t="str">
        <x:v>damage</x:v>
      </x:c>
      <x:c r="C10" s="17" t="str">
        <x:v>final_damage</x:v>
      </x:c>
      <x:c r="D10" s="17" t="str">
        <x:v>最终伤害</x:v>
      </x:c>
      <x:c r="E10" s="17"/>
      <x:c r="F10" s="17"/>
      <x:c r="G10" s="17"/>
      <x:c r="H10" s="17" t="str">
        <x:v>unverified</x:v>
      </x:c>
      <x:c r="I10" s="18" t="str">
        <x:v>最终策划案.md:736-750；5.9</x:v>
      </x:c>
      <x:c r="J10" s="18" t="str">
        <x:v>每池自选1条免费切换；属性单位、触发、叠加和预算待审定。</x:v>
      </x:c>
    </x:row>
    <x:row r="11" ht="15" hidden="0" customHeight="1">
      <x:c r="A11" s="19" t="n">
        <x:v>8</x:v>
      </x:c>
      <x:c r="B11" s="17" t="str">
        <x:v>defence</x:v>
      </x:c>
      <x:c r="C11" s="17" t="str">
        <x:v>defence</x:v>
      </x:c>
      <x:c r="D11" s="17" t="str">
        <x:v>防御</x:v>
      </x:c>
      <x:c r="E11" s="17"/>
      <x:c r="F11" s="17"/>
      <x:c r="G11" s="17"/>
      <x:c r="H11" s="17" t="str">
        <x:v>unverified</x:v>
      </x:c>
      <x:c r="I11" s="18" t="str">
        <x:v>最终策划案.md:736-750；5.9</x:v>
      </x:c>
      <x:c r="J11" s="18" t="str">
        <x:v>每池自选1条免费切换；属性单位、触发、叠加和预算待审定。</x:v>
      </x:c>
    </x:row>
    <x:row r="12" ht="15" hidden="0" customHeight="1">
      <x:c r="A12" s="19" t="n">
        <x:v>9</x:v>
      </x:c>
      <x:c r="B12" s="17" t="str">
        <x:v>defence</x:v>
      </x:c>
      <x:c r="C12" s="17" t="str">
        <x:v>magic_defence</x:v>
      </x:c>
      <x:c r="D12" s="17" t="str">
        <x:v>魔御</x:v>
      </x:c>
      <x:c r="E12" s="17"/>
      <x:c r="F12" s="17"/>
      <x:c r="G12" s="17"/>
      <x:c r="H12" s="17" t="str">
        <x:v>unverified</x:v>
      </x:c>
      <x:c r="I12" s="18" t="str">
        <x:v>最终策划案.md:736-750；5.9</x:v>
      </x:c>
      <x:c r="J12" s="18" t="str">
        <x:v>每池自选1条免费切换；属性单位、触发、叠加和预算待审定。</x:v>
      </x:c>
    </x:row>
    <x:row r="13" ht="15" hidden="0" customHeight="1">
      <x:c r="A13" s="19" t="n">
        <x:v>10</x:v>
      </x:c>
      <x:c r="B13" s="17" t="str">
        <x:v>defence</x:v>
      </x:c>
      <x:c r="C13" s="17" t="str">
        <x:v>max_hp</x:v>
      </x:c>
      <x:c r="D13" s="17" t="str">
        <x:v>生命上限</x:v>
      </x:c>
      <x:c r="E13" s="17"/>
      <x:c r="F13" s="17"/>
      <x:c r="G13" s="17"/>
      <x:c r="H13" s="17" t="str">
        <x:v>unverified</x:v>
      </x:c>
      <x:c r="I13" s="18" t="str">
        <x:v>最终策划案.md:736-750；5.9</x:v>
      </x:c>
      <x:c r="J13" s="18" t="str">
        <x:v>每池自选1条免费切换；属性单位、触发、叠加和预算待审定。</x:v>
      </x:c>
    </x:row>
    <x:row r="14" ht="15" hidden="0" customHeight="1">
      <x:c r="A14" s="19" t="n">
        <x:v>11</x:v>
      </x:c>
      <x:c r="B14" s="17" t="str">
        <x:v>defence</x:v>
      </x:c>
      <x:c r="C14" s="17" t="str">
        <x:v>max_mp</x:v>
      </x:c>
      <x:c r="D14" s="17" t="str">
        <x:v>魔法上限</x:v>
      </x:c>
      <x:c r="E14" s="17"/>
      <x:c r="F14" s="17"/>
      <x:c r="G14" s="17"/>
      <x:c r="H14" s="17" t="str">
        <x:v>unverified</x:v>
      </x:c>
      <x:c r="I14" s="18" t="str">
        <x:v>最终策划案.md:736-750；5.9</x:v>
      </x:c>
      <x:c r="J14" s="18" t="str">
        <x:v>每池自选1条免费切换；属性单位、触发、叠加和预算待审定。</x:v>
      </x:c>
    </x:row>
    <x:row r="15" ht="15" hidden="0" customHeight="1">
      <x:c r="A15" s="19" t="n">
        <x:v>12</x:v>
      </x:c>
      <x:c r="B15" s="17" t="str">
        <x:v>defence</x:v>
      </x:c>
      <x:c r="C15" s="17" t="str">
        <x:v>poison_resist</x:v>
      </x:c>
      <x:c r="D15" s="17" t="str">
        <x:v>中毒抗性</x:v>
      </x:c>
      <x:c r="E15" s="17"/>
      <x:c r="F15" s="17"/>
      <x:c r="G15" s="17"/>
      <x:c r="H15" s="17" t="str">
        <x:v>unverified</x:v>
      </x:c>
      <x:c r="I15" s="18" t="str">
        <x:v>最终策划案.md:736-750；5.9</x:v>
      </x:c>
      <x:c r="J15" s="18" t="str">
        <x:v>每池自选1条免费切换；属性单位、触发、叠加和预算待审定。</x:v>
      </x:c>
    </x:row>
    <x:row r="16" ht="15" hidden="0" customHeight="1">
      <x:c r="A16" s="19" t="n">
        <x:v>13</x:v>
      </x:c>
      <x:c r="B16" s="17" t="str">
        <x:v>defence</x:v>
      </x:c>
      <x:c r="C16" s="17" t="str">
        <x:v>paralysis_resist</x:v>
      </x:c>
      <x:c r="D16" s="17" t="str">
        <x:v>麻痹抗性</x:v>
      </x:c>
      <x:c r="E16" s="17"/>
      <x:c r="F16" s="17"/>
      <x:c r="G16" s="17"/>
      <x:c r="H16" s="17" t="str">
        <x:v>unverified</x:v>
      </x:c>
      <x:c r="I16" s="18" t="str">
        <x:v>最终策划案.md:736-750；5.9</x:v>
      </x:c>
      <x:c r="J16" s="18" t="str">
        <x:v>每池自选1条免费切换；属性单位、触发、叠加和预算待审定。</x:v>
      </x:c>
    </x:row>
    <x:row r="17" ht="15" hidden="0" customHeight="1">
      <x:c r="A17" s="19" t="n">
        <x:v>14</x:v>
      </x:c>
      <x:c r="B17" s="17" t="str">
        <x:v>defence</x:v>
      </x:c>
      <x:c r="C17" s="17" t="str">
        <x:v>petrify_resist</x:v>
      </x:c>
      <x:c r="D17" s="17" t="str">
        <x:v>石化抗性</x:v>
      </x:c>
      <x:c r="E17" s="17"/>
      <x:c r="F17" s="17"/>
      <x:c r="G17" s="17"/>
      <x:c r="H17" s="17" t="str">
        <x:v>unverified</x:v>
      </x:c>
      <x:c r="I17" s="18" t="str">
        <x:v>最终策划案.md:736-750；5.9</x:v>
      </x:c>
      <x:c r="J17" s="18" t="str">
        <x:v>每池自选1条免费切换；属性单位、触发、叠加和预算待审定。</x:v>
      </x:c>
    </x:row>
    <x:row r="18" ht="15" hidden="0" customHeight="1">
      <x:c r="A18" s="19" t="n">
        <x:v>15</x:v>
      </x:c>
      <x:c r="B18" s="17" t="str">
        <x:v>effect</x:v>
      </x:c>
      <x:c r="C18" s="17" t="str">
        <x:v>attack_speed</x:v>
      </x:c>
      <x:c r="D18" s="17" t="str">
        <x:v>攻速</x:v>
      </x:c>
      <x:c r="E18" s="17"/>
      <x:c r="F18" s="17"/>
      <x:c r="G18" s="17"/>
      <x:c r="H18" s="17" t="str">
        <x:v>unverified</x:v>
      </x:c>
      <x:c r="I18" s="18" t="str">
        <x:v>最终策划案.md:736-750；5.9</x:v>
      </x:c>
      <x:c r="J18" s="18" t="str">
        <x:v>每池自选1条免费切换；属性单位、触发、叠加和预算待审定。</x:v>
      </x:c>
    </x:row>
    <x:row r="19" ht="15" hidden="0" customHeight="1">
      <x:c r="A19" s="19" t="n">
        <x:v>16</x:v>
      </x:c>
      <x:c r="B19" s="17" t="str">
        <x:v>effect</x:v>
      </x:c>
      <x:c r="C19" s="17" t="str">
        <x:v>life_steal</x:v>
      </x:c>
      <x:c r="D19" s="17" t="str">
        <x:v>吸血</x:v>
      </x:c>
      <x:c r="E19" s="17"/>
      <x:c r="F19" s="17"/>
      <x:c r="G19" s="17"/>
      <x:c r="H19" s="17" t="str">
        <x:v>unverified</x:v>
      </x:c>
      <x:c r="I19" s="18" t="str">
        <x:v>最终策划案.md:736-750；5.9</x:v>
      </x:c>
      <x:c r="J19" s="18" t="str">
        <x:v>每池自选1条免费切换；属性单位、触发、叠加和预算待审定。</x:v>
      </x:c>
    </x:row>
    <x:row r="20" ht="15" hidden="0" customHeight="1">
      <x:c r="A20" s="19" t="n">
        <x:v>17</x:v>
      </x:c>
      <x:c r="B20" s="17" t="str">
        <x:v>effect</x:v>
      </x:c>
      <x:c r="C20" s="17" t="str">
        <x:v>reflection</x:v>
      </x:c>
      <x:c r="D20" s="17" t="str">
        <x:v>反伤</x:v>
      </x:c>
      <x:c r="E20" s="17"/>
      <x:c r="F20" s="17"/>
      <x:c r="G20" s="17"/>
      <x:c r="H20" s="17" t="str">
        <x:v>unverified</x:v>
      </x:c>
      <x:c r="I20" s="18" t="str">
        <x:v>最终策划案.md:736-750；5.9</x:v>
      </x:c>
      <x:c r="J20" s="18" t="str">
        <x:v>每池自选1条免费切换；属性单位、触发、叠加和预算待审定。</x:v>
      </x:c>
    </x:row>
    <x:row r="21" ht="15" hidden="0" customHeight="1">
      <x:c r="A21" s="19" t="n">
        <x:v>18</x:v>
      </x:c>
      <x:c r="B21" s="17" t="str">
        <x:v>effect</x:v>
      </x:c>
      <x:c r="C21" s="17" t="str">
        <x:v>accuracy</x:v>
      </x:c>
      <x:c r="D21" s="17" t="str">
        <x:v>准确</x:v>
      </x:c>
      <x:c r="E21" s="17"/>
      <x:c r="F21" s="17"/>
      <x:c r="G21" s="17"/>
      <x:c r="H21" s="17" t="str">
        <x:v>unverified</x:v>
      </x:c>
      <x:c r="I21" s="18" t="str">
        <x:v>最终策划案.md:736-750；5.9</x:v>
      </x:c>
      <x:c r="J21" s="18" t="str">
        <x:v>每池自选1条免费切换；属性单位、触发、叠加和预算待审定。</x:v>
      </x:c>
    </x:row>
    <x:row r="22" ht="15" hidden="0" customHeight="1">
      <x:c r="A22" s="19" t="n">
        <x:v>19</x:v>
      </x:c>
      <x:c r="B22" s="17" t="str">
        <x:v>effect</x:v>
      </x:c>
      <x:c r="C22" s="17" t="str">
        <x:v>critical_rate</x:v>
      </x:c>
      <x:c r="D22" s="17" t="str">
        <x:v>暴击</x:v>
      </x:c>
      <x:c r="E22" s="17"/>
      <x:c r="F22" s="17"/>
      <x:c r="G22" s="17"/>
      <x:c r="H22" s="17" t="str">
        <x:v>unverified</x:v>
      </x:c>
      <x:c r="I22" s="18" t="str">
        <x:v>最终策划案.md:736-750；5.9</x:v>
      </x:c>
      <x:c r="J22" s="18" t="str">
        <x:v>每池自选1条免费切换；属性单位、触发、叠加和预算待审定。</x:v>
      </x:c>
    </x:row>
    <x:row r="23" ht="15" hidden="0" customHeight="1">
      <x:c r="A23" s="19" t="n">
        <x:v>20</x:v>
      </x:c>
      <x:c r="B23" s="17" t="str">
        <x:v>effect</x:v>
      </x:c>
      <x:c r="C23" s="17" t="str">
        <x:v>hp_regen</x:v>
      </x:c>
      <x:c r="D23" s="17" t="str">
        <x:v>生命回复</x:v>
      </x:c>
      <x:c r="E23" s="17"/>
      <x:c r="F23" s="17"/>
      <x:c r="G23" s="17"/>
      <x:c r="H23" s="17" t="str">
        <x:v>unverified</x:v>
      </x:c>
      <x:c r="I23" s="18" t="str">
        <x:v>最终策划案.md:736-750；5.9</x:v>
      </x:c>
      <x:c r="J23" s="18" t="str">
        <x:v>每池自选1条免费切换；属性单位、触发、叠加和预算待审定。</x:v>
      </x:c>
    </x:row>
    <x:row r="24" ht="15" hidden="0" customHeight="1">
      <x:c r="A24" s="19" t="n">
        <x:v>21</x:v>
      </x:c>
      <x:c r="B24" s="17" t="str">
        <x:v>effect</x:v>
      </x:c>
      <x:c r="C24" s="17" t="str">
        <x:v>ignore_defence</x:v>
      </x:c>
      <x:c r="D24" s="17" t="str">
        <x:v>无视防御</x:v>
      </x:c>
      <x:c r="E24" s="17"/>
      <x:c r="F24" s="17"/>
      <x:c r="G24" s="17"/>
      <x:c r="H24" s="17" t="str">
        <x:v>unverified</x:v>
      </x:c>
      <x:c r="I24" s="18" t="str">
        <x:v>最终策划案.md:736-750；5.9</x:v>
      </x:c>
      <x:c r="J24" s="18" t="str">
        <x:v>每池自选1条免费切换；属性单位、触发、叠加和预算待审定。</x:v>
      </x:c>
    </x:row>
  </x:sheetData>
  <x:conditionalFormatting sqref="A4:A1003">
    <x:cfRule type="expression" dxfId="304" priority="1">
      <x:formula>AND($A4&lt;&gt;"",ISBLANK(A4))</x:formula>
    </x:cfRule>
  </x:conditionalFormatting>
  <x:conditionalFormatting sqref="B4:B1003">
    <x:cfRule type="expression" dxfId="305" priority="2">
      <x:formula>AND($A4&lt;&gt;"",ISBLANK(B4))</x:formula>
    </x:cfRule>
  </x:conditionalFormatting>
  <x:conditionalFormatting sqref="C4:C1003">
    <x:cfRule type="expression" dxfId="306" priority="3">
      <x:formula>AND($A4&lt;&gt;"",ISBLANK(C4))</x:formula>
    </x:cfRule>
  </x:conditionalFormatting>
  <x:conditionalFormatting sqref="D4:D1003">
    <x:cfRule type="expression" dxfId="307" priority="4">
      <x:formula>AND($A4&lt;&gt;"",ISBLANK(D4))</x:formula>
    </x:cfRule>
  </x:conditionalFormatting>
  <x:conditionalFormatting sqref="H4:H1003">
    <x:cfRule type="containsText" dxfId="308" priority="5" operator="containsText" text="candidate"/>
    <x:cfRule type="containsText" dxfId="309" priority="6" operator="containsText" text="unverified"/>
    <x:cfRule type="containsText" dxfId="310" priority="7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soul_possession_limit</x:v>
      </x:c>
      <x:c r="C4" s="17" t="str">
        <x:v>1</x:v>
      </x:c>
      <x:c r="D4" s="17" t="str">
        <x:v>confirmed</x:v>
      </x:c>
      <x:c r="E4" s="18" t="str">
        <x:v>最终策划案.md:509-551；4.22、4.23、4.24</x:v>
      </x:c>
      <x:c r="F4" s="18" t="str"/>
    </x:row>
    <x:row r="5" ht="15" hidden="0" customHeight="1">
      <x:c r="A5" s="19" t="n">
        <x:v>2</x:v>
      </x:c>
      <x:c r="B5" s="17" t="str">
        <x:v>soul_external_render_or_combat</x:v>
      </x:c>
      <x:c r="C5" s="17" t="str">
        <x:v>false</x:v>
      </x:c>
      <x:c r="D5" s="17" t="str">
        <x:v>confirmed</x:v>
      </x:c>
      <x:c r="E5" s="18" t="str">
        <x:v>最终策划案.md:509-551；4.22、4.23、4.24</x:v>
      </x:c>
      <x:c r="F5" s="18" t="str"/>
    </x:row>
    <x:row r="6" ht="15" hidden="0" customHeight="1">
      <x:c r="A6" s="19" t="n">
        <x:v>3</x:v>
      </x:c>
      <x:c r="B6" s="17" t="str">
        <x:v>soul_duplicate_to_common_fragments</x:v>
      </x:c>
      <x:c r="C6" s="17" t="str">
        <x:v>true</x:v>
      </x:c>
      <x:c r="D6" s="17" t="str">
        <x:v>confirmed</x:v>
      </x:c>
      <x:c r="E6" s="18" t="str">
        <x:v>最终策划案.md:509-551；4.22、4.23、4.24</x:v>
      </x:c>
      <x:c r="F6" s="18" t="str"/>
    </x:row>
    <x:row r="7" ht="15" hidden="0" customHeight="1">
      <x:c r="A7" s="19" t="n">
        <x:v>4</x:v>
      </x:c>
      <x:c r="B7" s="17" t="str">
        <x:v>soul_pools_selected_each</x:v>
      </x:c>
      <x:c r="C7" s="17" t="str">
        <x:v>1</x:v>
      </x:c>
      <x:c r="D7" s="17" t="str">
        <x:v>confirmed</x:v>
      </x:c>
      <x:c r="E7" s="18" t="str">
        <x:v>最终策划案.md:509-551；4.22、4.23、4.24</x:v>
      </x:c>
      <x:c r="F7" s="18" t="str"/>
    </x:row>
    <x:row r="8" ht="15" hidden="0" customHeight="1">
      <x:c r="A8" s="19" t="n">
        <x:v>5</x:v>
      </x:c>
      <x:c r="B8" s="17" t="str">
        <x:v>soul_affix_switch_cost</x:v>
      </x:c>
      <x:c r="C8" s="17" t="str">
        <x:v>0</x:v>
      </x:c>
      <x:c r="D8" s="17" t="str">
        <x:v>confirmed</x:v>
      </x:c>
      <x:c r="E8" s="18" t="str">
        <x:v>最终策划案.md:509-551；4.22、4.23、4.24</x:v>
      </x:c>
      <x:c r="F8" s="18" t="str"/>
    </x:row>
    <x:row r="9" ht="15" hidden="0" customHeight="1">
      <x:c r="A9" s="19" t="n">
        <x:v>6</x:v>
      </x:c>
      <x:c r="B9" s="17" t="str">
        <x:v>soul_fragment_antiprofit</x:v>
      </x:c>
      <x:c r="C9" s="17" t="str">
        <x:v>"D(type,s+1)&lt;=D(type,s)+C(type,s); synthesize_1star_cost&gt;=D(type,1)"</x:v>
      </x:c>
      <x:c r="D9" s="17" t="str">
        <x:v>confirmed</x:v>
      </x:c>
      <x:c r="E9" s="18" t="str">
        <x:v>最终策划案.md:509-551；4.22、4.23、4.24</x:v>
      </x:c>
      <x:c r="F9" s="18" t="str"/>
    </x:row>
    <x:row r="10" ht="15" hidden="0" customHeight="1">
      <x:c r="A10" s="19" t="n">
        <x:v>7</x:v>
      </x:c>
      <x:c r="B10" s="17" t="str">
        <x:v>medal_unique</x:v>
      </x:c>
      <x:c r="C10" s="17" t="str">
        <x:v>true</x:v>
      </x:c>
      <x:c r="D10" s="17" t="str">
        <x:v>confirmed</x:v>
      </x:c>
      <x:c r="E10" s="18" t="str">
        <x:v>最终策划案.md:509-551；4.22、4.23、4.24</x:v>
      </x:c>
      <x:c r="F10" s="18" t="str"/>
    </x:row>
    <x:row r="11" ht="15" hidden="0" customHeight="1">
      <x:c r="A11" s="19" t="n">
        <x:v>8</x:v>
      </x:c>
      <x:c r="B11" s="17" t="str">
        <x:v>medal_level_cap</x:v>
      </x:c>
      <x:c r="C11" s="17" t="str">
        <x:v>"actual_role_level"</x:v>
      </x:c>
      <x:c r="D11" s="17" t="str">
        <x:v>confirmed</x:v>
      </x:c>
      <x:c r="E11" s="18" t="str">
        <x:v>最终策划案.md:509-551；4.22、4.23、4.24</x:v>
      </x:c>
      <x:c r="F11" s="18" t="str"/>
    </x:row>
    <x:row r="12" ht="15" hidden="0" customHeight="1">
      <x:c r="A12" s="19" t="n">
        <x:v>9</x:v>
      </x:c>
      <x:c r="B12" s="17" t="str">
        <x:v>medal_upgrade_success_ppm</x:v>
      </x:c>
      <x:c r="C12" s="17" t="str">
        <x:v>1000000</x:v>
      </x:c>
      <x:c r="D12" s="17" t="str">
        <x:v>confirmed</x:v>
      </x:c>
      <x:c r="E12" s="18" t="str">
        <x:v>最终策划案.md:509-551；4.22、4.23、4.24</x:v>
      </x:c>
      <x:c r="F12" s="18" t="str"/>
    </x:row>
    <x:row r="13" ht="15" hidden="0" customHeight="1">
      <x:c r="A13" s="19" t="n">
        <x:v>10</x:v>
      </x:c>
      <x:c r="B13" s="17" t="str">
        <x:v>medal_unequip_or_recycle</x:v>
      </x:c>
      <x:c r="C13" s="17" t="str">
        <x:v>false</x:v>
      </x:c>
      <x:c r="D13" s="17" t="str">
        <x:v>confirmed</x:v>
      </x:c>
      <x:c r="E13" s="18" t="str">
        <x:v>最终策划案.md:509-551；4.22、4.23、4.24</x:v>
      </x:c>
      <x:c r="F13" s="18" t="str"/>
    </x:row>
    <x:row r="14" ht="15" hidden="0" customHeight="1">
      <x:c r="A14" s="19" t="n">
        <x:v>11</x:v>
      </x:c>
      <x:c r="B14" s="17" t="str">
        <x:v>medal_has_durability_or_weight</x:v>
      </x:c>
      <x:c r="C14" s="17" t="str">
        <x:v>false</x:v>
      </x:c>
      <x:c r="D14" s="17" t="str">
        <x:v>confirmed</x:v>
      </x:c>
      <x:c r="E14" s="18" t="str">
        <x:v>最终策划案.md:509-551；4.22、4.23、4.24</x:v>
      </x:c>
      <x:c r="F14" s="18" t="str"/>
    </x:row>
    <x:row r="15" ht="15" hidden="0" customHeight="1">
      <x:c r="A15" s="19" t="n">
        <x:v>12</x:v>
      </x:c>
      <x:c r="B15" s="17" t="str">
        <x:v>wing_unique_per_role</x:v>
      </x:c>
      <x:c r="C15" s="17" t="str">
        <x:v>true</x:v>
      </x:c>
      <x:c r="D15" s="17" t="str">
        <x:v>confirmed</x:v>
      </x:c>
      <x:c r="E15" s="18" t="str">
        <x:v>最终策划案.md:509-551；4.22、4.23、4.24</x:v>
      </x:c>
      <x:c r="F15" s="18" t="str"/>
    </x:row>
    <x:row r="16" ht="15" hidden="0" customHeight="1">
      <x:c r="A16" s="19" t="n">
        <x:v>13</x:v>
      </x:c>
      <x:c r="B16" s="17" t="str">
        <x:v>wing_max_rank</x:v>
      </x:c>
      <x:c r="C16" s="17" t="str">
        <x:v>10</x:v>
      </x:c>
      <x:c r="D16" s="17" t="str">
        <x:v>confirmed</x:v>
      </x:c>
      <x:c r="E16" s="18" t="str">
        <x:v>最终策划案.md:509-551；4.22、4.23、4.24</x:v>
      </x:c>
      <x:c r="F16" s="18" t="str"/>
    </x:row>
    <x:row r="17" ht="15" hidden="0" customHeight="1">
      <x:c r="A17" s="19" t="n">
        <x:v>14</x:v>
      </x:c>
      <x:c r="B17" s="17" t="str">
        <x:v>wing_visual_evolution_ranks</x:v>
      </x:c>
      <x:c r="C17" s="17" t="str">
        <x:v>[1,3,5,7,10]</x:v>
      </x:c>
      <x:c r="D17" s="17" t="str">
        <x:v>confirmed</x:v>
      </x:c>
      <x:c r="E17" s="18" t="str">
        <x:v>最终策划案.md:509-551；4.22、4.23、4.24</x:v>
      </x:c>
      <x:c r="F17" s="18" t="str"/>
    </x:row>
    <x:row r="18" ht="15" hidden="0" customHeight="1">
      <x:c r="A18" s="19" t="n">
        <x:v>15</x:v>
      </x:c>
      <x:c r="B18" s="17" t="str">
        <x:v>wing_initial_luck</x:v>
      </x:c>
      <x:c r="C18" s="17" t="str">
        <x:v>0</x:v>
      </x:c>
      <x:c r="D18" s="17" t="str">
        <x:v>confirmed</x:v>
      </x:c>
      <x:c r="E18" s="18" t="str">
        <x:v>最终策划案.md:509-551；4.22、4.23、4.24</x:v>
      </x:c>
      <x:c r="F18" s="18" t="str"/>
    </x:row>
    <x:row r="19" ht="15" hidden="0" customHeight="1">
      <x:c r="A19" s="19" t="n">
        <x:v>16</x:v>
      </x:c>
      <x:c r="B19" s="17" t="str">
        <x:v>wing_max_luck</x:v>
      </x:c>
      <x:c r="C19" s="17" t="str">
        <x:v>9</x:v>
      </x:c>
      <x:c r="D19" s="17" t="str">
        <x:v>confirmed</x:v>
      </x:c>
      <x:c r="E19" s="18" t="str">
        <x:v>最终策划案.md:509-551；4.22、4.23、4.24</x:v>
      </x:c>
      <x:c r="F19" s="18" t="str"/>
    </x:row>
    <x:row r="20" ht="15" hidden="0" customHeight="1">
      <x:c r="A20" s="19" t="n">
        <x:v>17</x:v>
      </x:c>
      <x:c r="B20" s="17" t="str">
        <x:v>wing_trade_unequip_recycle_or_shared_storage</x:v>
      </x:c>
      <x:c r="C20" s="17" t="str">
        <x:v>false</x:v>
      </x:c>
      <x:c r="D20" s="17" t="str">
        <x:v>confirmed</x:v>
      </x:c>
      <x:c r="E20" s="18" t="str">
        <x:v>最终策划案.md:509-551；4.22、4.23、4.24</x:v>
      </x:c>
      <x:c r="F20" s="18" t="str"/>
    </x:row>
    <x:row r="21" ht="15" hidden="0" customHeight="1">
      <x:c r="A21" s="19" t="n">
        <x:v>18</x:v>
      </x:c>
      <x:c r="B21" s="17" t="str">
        <x:v>wing_consumes_backpack_slot</x:v>
      </x:c>
      <x:c r="C21" s="17" t="str">
        <x:v>false</x:v>
      </x:c>
      <x:c r="D21" s="17" t="str">
        <x:v>confirmed</x:v>
      </x:c>
      <x:c r="E21" s="18" t="str">
        <x:v>最终策划案.md:509-551；4.22、4.23、4.24</x:v>
      </x:c>
      <x:c r="F21" s="18" t="str"/>
    </x:row>
    <x:row r="22" ht="15" hidden="0" customHeight="1">
      <x:c r="A22" s="19" t="n">
        <x:v>19</x:v>
      </x:c>
      <x:c r="B22" s="17" t="str">
        <x:v>wing_strengthenable</x:v>
      </x:c>
      <x:c r="C22" s="17" t="str">
        <x:v>false</x:v>
      </x:c>
      <x:c r="D22" s="17" t="str">
        <x:v>confirmed</x:v>
      </x:c>
      <x:c r="E22" s="18" t="str">
        <x:v>最终策划案.md:509-551；4.22、4.23、4.24</x:v>
      </x:c>
      <x:c r="F22" s="18" t="str"/>
    </x:row>
    <x:row r="23" ht="15" hidden="0" customHeight="1">
      <x:c r="A23" s="19" t="n">
        <x:v>20</x:v>
      </x:c>
      <x:c r="B23" s="17" t="str">
        <x:v>wing_rank_up_success_ppm</x:v>
      </x:c>
      <x:c r="C23" s="17" t="str">
        <x:v>1000000</x:v>
      </x:c>
      <x:c r="D23" s="17" t="str">
        <x:v>confirmed</x:v>
      </x:c>
      <x:c r="E23" s="18" t="str">
        <x:v>最终策划案.md:509-551；4.22、4.23、4.24</x:v>
      </x:c>
      <x:c r="F23" s="18" t="str"/>
    </x:row>
    <x:row r="24" ht="15" hidden="0" customHeight="1">
      <x:c r="A24" s="19" t="n">
        <x:v>21</x:v>
      </x:c>
      <x:c r="B24" s="17" t="str">
        <x:v>wing_id_survives_rank_or_skin_changes</x:v>
      </x:c>
      <x:c r="C24" s="17" t="str">
        <x:v>true</x:v>
      </x:c>
      <x:c r="D24" s="17" t="str">
        <x:v>confirmed</x:v>
      </x:c>
      <x:c r="E24" s="18" t="str">
        <x:v>最终策划案.md:509-551；4.22、4.23、4.24</x:v>
      </x:c>
      <x:c r="F24" s="18" t="str"/>
    </x:row>
    <x:row r="25" ht="15" hidden="0" customHeight="1">
      <x:c r="A25" s="19" t="n">
        <x:v>22</x:v>
      </x:c>
      <x:c r="B25" s="17" t="str">
        <x:v>wing_visual_hidden_keeps_stats</x:v>
      </x:c>
      <x:c r="C25" s="17" t="str">
        <x:v>true</x:v>
      </x:c>
      <x:c r="D25" s="17" t="str">
        <x:v>confirmed</x:v>
      </x:c>
      <x:c r="E25" s="18" t="str">
        <x:v>最终策划案.md:509-551；4.22、4.23、4.24</x:v>
      </x:c>
      <x:c r="F25" s="18" t="str"/>
    </x:row>
    <x:row r="26" ht="15" hidden="0" customHeight="1">
      <x:c r="A26" s="19" t="n">
        <x:v>23</x:v>
      </x:c>
      <x:c r="B26" s="17" t="str">
        <x:v>wing_excess_feathers</x:v>
      </x:c>
      <x:c r="C26" s="17" t="str">
        <x:v>"cosmetic_only_without_unbound_ingot_or_unbounded_combat_stats"</x:v>
      </x:c>
      <x:c r="D26" s="17" t="str">
        <x:v>confirmed</x:v>
      </x:c>
      <x:c r="E26" s="18" t="str">
        <x:v>最终策划案.md:509-551；4.22、4.23、4.24</x:v>
      </x:c>
      <x:c r="F26" s="18" t="str"/>
    </x:row>
  </x:sheetData>
  <x:conditionalFormatting sqref="A4:A1003">
    <x:cfRule type="expression" dxfId="311" priority="1">
      <x:formula>AND($A4&lt;&gt;"",ISBLANK(A4))</x:formula>
    </x:cfRule>
  </x:conditionalFormatting>
  <x:conditionalFormatting sqref="B4:B1003">
    <x:cfRule type="expression" dxfId="312" priority="2">
      <x:formula>AND($A4&lt;&gt;"",ISBLANK(B4))</x:formula>
    </x:cfRule>
  </x:conditionalFormatting>
  <x:conditionalFormatting sqref="C4:C1003">
    <x:cfRule type="expression" dxfId="313" priority="3">
      <x:formula>AND($A4&lt;&gt;"",ISBLANK(C4))</x:formula>
    </x:cfRule>
  </x:conditionalFormatting>
  <x:conditionalFormatting sqref="D4:D1003">
    <x:cfRule type="containsText" dxfId="314" priority="4" operator="containsText" text="candidate"/>
    <x:cfRule type="containsText" dxfId="315" priority="5" operator="containsText" text="unverified"/>
    <x:cfRule type="containsText" dxfId="316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20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阶数</x:v>
      </x:c>
      <x:c r="C1" s="7" t="str">
        <x:v>本阶羽毛需求</x:v>
      </x:c>
      <x:c r="D1" s="7" t="str">
        <x:v>预算内属性</x:v>
      </x:c>
      <x:c r="E1" s="7" t="str">
        <x:v>本阶外观进化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rank</x:v>
      </x:c>
      <x:c r="C2" s="12" t="str">
        <x:v>feather_cost</x:v>
      </x:c>
      <x:c r="D2" s="12" t="str">
        <x:v>attribute_effects</x:v>
      </x:c>
      <x:c r="E2" s="12" t="str">
        <x:v>appearance_evolves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可空 / both</x:v>
      </x:c>
      <x:c r="D3" s="15" t="str">
        <x:v>json / 可空 / both</x:v>
      </x:c>
      <x:c r="E3" s="15" t="str">
        <x:v>bool / 必填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 t="n">
        <x:v>1</x:v>
      </x:c>
      <x:c r="B4" s="16" t="n">
        <x:v>1</x:v>
      </x:c>
      <x:c r="C4" s="16"/>
      <x:c r="D4" s="17"/>
      <x:c r="E4" s="9" t="b">
        <x:v>1</x:v>
      </x:c>
      <x:c r="F4" s="17" t="str">
        <x:v>unverified</x:v>
      </x:c>
      <x:c r="G4" s="18" t="str">
        <x:v>最终策划案.md:535-551；4.24</x:v>
      </x:c>
      <x:c r="H4" s="18" t="str">
        <x:v>正式羽毛需求和属性未发布，历史累计1/4/.../800不作为此表默认值。</x:v>
      </x:c>
    </x:row>
    <x:row r="5" ht="15" hidden="0" customHeight="1">
      <x:c r="A5" s="19" t="n">
        <x:v>2</x:v>
      </x:c>
      <x:c r="B5" s="16" t="n">
        <x:v>2</x:v>
      </x:c>
      <x:c r="C5" s="16"/>
      <x:c r="D5" s="17"/>
      <x:c r="E5" s="9" t="b">
        <x:v>0</x:v>
      </x:c>
      <x:c r="F5" s="17" t="str">
        <x:v>unverified</x:v>
      </x:c>
      <x:c r="G5" s="18" t="str">
        <x:v>最终策划案.md:535-551；4.24</x:v>
      </x:c>
      <x:c r="H5" s="18" t="str">
        <x:v>正式羽毛需求和属性未发布，历史累计1/4/.../800不作为此表默认值。</x:v>
      </x:c>
    </x:row>
    <x:row r="6" ht="15" hidden="0" customHeight="1">
      <x:c r="A6" s="19" t="n">
        <x:v>3</x:v>
      </x:c>
      <x:c r="B6" s="16" t="n">
        <x:v>3</x:v>
      </x:c>
      <x:c r="C6" s="16"/>
      <x:c r="D6" s="17"/>
      <x:c r="E6" s="9" t="b">
        <x:v>1</x:v>
      </x:c>
      <x:c r="F6" s="17" t="str">
        <x:v>unverified</x:v>
      </x:c>
      <x:c r="G6" s="18" t="str">
        <x:v>最终策划案.md:535-551；4.24</x:v>
      </x:c>
      <x:c r="H6" s="18" t="str">
        <x:v>正式羽毛需求和属性未发布，历史累计1/4/.../800不作为此表默认值。</x:v>
      </x:c>
    </x:row>
    <x:row r="7" ht="15" hidden="0" customHeight="1">
      <x:c r="A7" s="19" t="n">
        <x:v>4</x:v>
      </x:c>
      <x:c r="B7" s="16" t="n">
        <x:v>4</x:v>
      </x:c>
      <x:c r="C7" s="16"/>
      <x:c r="D7" s="17"/>
      <x:c r="E7" s="9" t="b">
        <x:v>0</x:v>
      </x:c>
      <x:c r="F7" s="17" t="str">
        <x:v>unverified</x:v>
      </x:c>
      <x:c r="G7" s="18" t="str">
        <x:v>最终策划案.md:535-551；4.24</x:v>
      </x:c>
      <x:c r="H7" s="18" t="str">
        <x:v>正式羽毛需求和属性未发布，历史累计1/4/.../800不作为此表默认值。</x:v>
      </x:c>
    </x:row>
    <x:row r="8" ht="15" hidden="0" customHeight="1">
      <x:c r="A8" s="19" t="n">
        <x:v>5</x:v>
      </x:c>
      <x:c r="B8" s="16" t="n">
        <x:v>5</x:v>
      </x:c>
      <x:c r="C8" s="16"/>
      <x:c r="D8" s="17"/>
      <x:c r="E8" s="9" t="b">
        <x:v>1</x:v>
      </x:c>
      <x:c r="F8" s="17" t="str">
        <x:v>unverified</x:v>
      </x:c>
      <x:c r="G8" s="18" t="str">
        <x:v>最终策划案.md:535-551；4.24</x:v>
      </x:c>
      <x:c r="H8" s="18" t="str">
        <x:v>正式羽毛需求和属性未发布，历史累计1/4/.../800不作为此表默认值。</x:v>
      </x:c>
    </x:row>
    <x:row r="9" ht="15" hidden="0" customHeight="1">
      <x:c r="A9" s="19" t="n">
        <x:v>6</x:v>
      </x:c>
      <x:c r="B9" s="16" t="n">
        <x:v>6</x:v>
      </x:c>
      <x:c r="C9" s="16"/>
      <x:c r="D9" s="17"/>
      <x:c r="E9" s="9" t="b">
        <x:v>0</x:v>
      </x:c>
      <x:c r="F9" s="17" t="str">
        <x:v>unverified</x:v>
      </x:c>
      <x:c r="G9" s="18" t="str">
        <x:v>最终策划案.md:535-551；4.24</x:v>
      </x:c>
      <x:c r="H9" s="18" t="str">
        <x:v>正式羽毛需求和属性未发布，历史累计1/4/.../800不作为此表默认值。</x:v>
      </x:c>
    </x:row>
    <x:row r="10" ht="15" hidden="0" customHeight="1">
      <x:c r="A10" s="19" t="n">
        <x:v>7</x:v>
      </x:c>
      <x:c r="B10" s="16" t="n">
        <x:v>7</x:v>
      </x:c>
      <x:c r="C10" s="16"/>
      <x:c r="D10" s="17"/>
      <x:c r="E10" s="9" t="b">
        <x:v>1</x:v>
      </x:c>
      <x:c r="F10" s="17" t="str">
        <x:v>unverified</x:v>
      </x:c>
      <x:c r="G10" s="18" t="str">
        <x:v>最终策划案.md:535-551；4.24</x:v>
      </x:c>
      <x:c r="H10" s="18" t="str">
        <x:v>正式羽毛需求和属性未发布，历史累计1/4/.../800不作为此表默认值。</x:v>
      </x:c>
    </x:row>
    <x:row r="11" ht="15" hidden="0" customHeight="1">
      <x:c r="A11" s="19" t="n">
        <x:v>8</x:v>
      </x:c>
      <x:c r="B11" s="16" t="n">
        <x:v>8</x:v>
      </x:c>
      <x:c r="C11" s="16"/>
      <x:c r="D11" s="17"/>
      <x:c r="E11" s="9" t="b">
        <x:v>0</x:v>
      </x:c>
      <x:c r="F11" s="17" t="str">
        <x:v>unverified</x:v>
      </x:c>
      <x:c r="G11" s="18" t="str">
        <x:v>最终策划案.md:535-551；4.24</x:v>
      </x:c>
      <x:c r="H11" s="18" t="str">
        <x:v>正式羽毛需求和属性未发布，历史累计1/4/.../800不作为此表默认值。</x:v>
      </x:c>
    </x:row>
    <x:row r="12" ht="15" hidden="0" customHeight="1">
      <x:c r="A12" s="19" t="n">
        <x:v>9</x:v>
      </x:c>
      <x:c r="B12" s="16" t="n">
        <x:v>9</x:v>
      </x:c>
      <x:c r="C12" s="16"/>
      <x:c r="D12" s="17"/>
      <x:c r="E12" s="9" t="b">
        <x:v>0</x:v>
      </x:c>
      <x:c r="F12" s="17" t="str">
        <x:v>unverified</x:v>
      </x:c>
      <x:c r="G12" s="18" t="str">
        <x:v>最终策划案.md:535-551；4.24</x:v>
      </x:c>
      <x:c r="H12" s="18" t="str">
        <x:v>正式羽毛需求和属性未发布，历史累计1/4/.../800不作为此表默认值。</x:v>
      </x:c>
    </x:row>
    <x:row r="13" ht="15" hidden="0" customHeight="1">
      <x:c r="A13" s="19" t="n">
        <x:v>10</x:v>
      </x:c>
      <x:c r="B13" s="16" t="n">
        <x:v>10</x:v>
      </x:c>
      <x:c r="C13" s="16"/>
      <x:c r="D13" s="17"/>
      <x:c r="E13" s="9" t="b">
        <x:v>1</x:v>
      </x:c>
      <x:c r="F13" s="17" t="str">
        <x:v>unverified</x:v>
      </x:c>
      <x:c r="G13" s="18" t="str">
        <x:v>最终策划案.md:535-551；4.24</x:v>
      </x:c>
      <x:c r="H13" s="18" t="str">
        <x:v>正式羽毛需求和属性未发布，历史累计1/4/.../800不作为此表默认值。</x:v>
      </x:c>
    </x:row>
  </x:sheetData>
  <x:conditionalFormatting sqref="A4:A1003">
    <x:cfRule type="expression" dxfId="317" priority="1">
      <x:formula>AND($A4&lt;&gt;"",ISBLANK(A4))</x:formula>
    </x:cfRule>
  </x:conditionalFormatting>
  <x:conditionalFormatting sqref="B4:B1003">
    <x:cfRule type="expression" dxfId="318" priority="2">
      <x:formula>AND($A4&lt;&gt;"",ISBLANK(B4))</x:formula>
    </x:cfRule>
  </x:conditionalFormatting>
  <x:conditionalFormatting sqref="E4:E1003">
    <x:cfRule type="expression" dxfId="319" priority="3">
      <x:formula>AND($A4&lt;&gt;"",ISBLANK(E4))</x:formula>
    </x:cfRule>
  </x:conditionalFormatting>
  <x:conditionalFormatting sqref="F4:F1003">
    <x:cfRule type="containsText" dxfId="320" priority="4" operator="containsText" text="candidate"/>
    <x:cfRule type="containsText" dxfId="321" priority="5" operator="containsText" text="unverified"/>
    <x:cfRule type="containsText" dxfId="322" priority="6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3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档位</x:v>
      </x:c>
      <x:c r="C1" s="7" t="str">
        <x:v>周期天数</x:v>
      </x:c>
      <x:c r="D1" s="7" t="str">
        <x:v>候选总价</x:v>
      </x:c>
      <x:c r="E1" s="7" t="str">
        <x:v>仅现金</x:v>
      </x:c>
      <x:c r="F1" s="7" t="str">
        <x:v>每日总奖不叠领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tier_key</x:v>
      </x:c>
      <x:c r="C2" s="12" t="str">
        <x:v>duration_days</x:v>
      </x:c>
      <x:c r="D2" s="12" t="str">
        <x:v>cash_fen</x:v>
      </x:c>
      <x:c r="E2" s="12" t="str">
        <x:v>cash_only</x:v>
      </x:c>
      <x:c r="F2" s="12" t="str">
        <x:v>daily_total_not_stack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int / 必填 / 分 / both</x:v>
      </x:c>
      <x:c r="E3" s="15" t="str">
        <x:v>bool / 必填 / both</x:v>
      </x:c>
      <x:c r="F3" s="15" t="str">
        <x:v>bool / 必填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7" t="str">
        <x:v>free</x:v>
      </x:c>
      <x:c r="C4" s="16" t="n">
        <x:v>30</x:v>
      </x:c>
      <x:c r="D4" s="16" t="n">
        <x:v>0</x:v>
      </x:c>
      <x:c r="E4" s="9" t="b">
        <x:v>0</x:v>
      </x:c>
      <x:c r="F4" s="9" t="b">
        <x:v>1</x:v>
      </x:c>
      <x:c r="G4" s="17" t="str">
        <x:v>candidate</x:v>
      </x:c>
      <x:c r="H4" s="18" t="str">
        <x:v>最终策划案.md:321-335；4.10</x:v>
      </x:c>
      <x:c r="I4" s="18" t="str"/>
    </x:row>
    <x:row r="5" ht="15" hidden="0" customHeight="1">
      <x:c r="A5" s="19" t="n">
        <x:v>2</x:v>
      </x:c>
      <x:c r="B5" s="17" t="str">
        <x:v>paid_28</x:v>
      </x:c>
      <x:c r="C5" s="16" t="n">
        <x:v>30</x:v>
      </x:c>
      <x:c r="D5" s="16" t="n">
        <x:v>2800</x:v>
      </x:c>
      <x:c r="E5" s="9" t="b">
        <x:v>1</x:v>
      </x:c>
      <x:c r="F5" s="9" t="b">
        <x:v>1</x:v>
      </x:c>
      <x:c r="G5" s="17" t="str">
        <x:v>candidate</x:v>
      </x:c>
      <x:c r="H5" s="18" t="str">
        <x:v>最终策划案.md:321-335；4.10</x:v>
      </x:c>
      <x:c r="I5" s="18" t="str"/>
    </x:row>
    <x:row r="6" ht="15" hidden="0" customHeight="1">
      <x:c r="A6" s="19" t="n">
        <x:v>3</x:v>
      </x:c>
      <x:c r="B6" s="17" t="str">
        <x:v>paid_98</x:v>
      </x:c>
      <x:c r="C6" s="16" t="n">
        <x:v>30</x:v>
      </x:c>
      <x:c r="D6" s="16" t="n">
        <x:v>9800</x:v>
      </x:c>
      <x:c r="E6" s="9" t="b">
        <x:v>1</x:v>
      </x:c>
      <x:c r="F6" s="9" t="b">
        <x:v>1</x:v>
      </x:c>
      <x:c r="G6" s="17" t="str">
        <x:v>candidate</x:v>
      </x:c>
      <x:c r="H6" s="18" t="str">
        <x:v>最终策划案.md:321-335；4.10</x:v>
      </x:c>
      <x:c r="I6" s="18" t="str"/>
    </x:row>
    <x:row r="7" ht="15" hidden="0" customHeight="1">
      <x:c r="A7" s="19"/>
      <x:c r="B7" s="17"/>
      <x:c r="C7" s="16"/>
      <x:c r="D7" s="16"/>
      <x:c r="E7" s="2"/>
      <x:c r="F7" s="2"/>
      <x:c r="G7" s="17"/>
      <x:c r="H7" s="18"/>
      <x:c r="I7" s="18"/>
    </x:row>
    <x:row r="8" ht="15" hidden="0" customHeight="1">
      <x:c r="A8" s="19"/>
      <x:c r="B8" s="17"/>
      <x:c r="C8" s="16"/>
      <x:c r="D8" s="16"/>
      <x:c r="E8" s="2"/>
      <x:c r="F8" s="2"/>
      <x:c r="G8" s="17"/>
      <x:c r="H8" s="18"/>
      <x:c r="I8" s="18"/>
    </x:row>
    <x:row r="9" ht="15" hidden="0" customHeight="1">
      <x:c r="A9" s="19"/>
      <x:c r="B9" s="17"/>
      <x:c r="C9" s="16"/>
      <x:c r="D9" s="16"/>
      <x:c r="E9" s="2"/>
      <x:c r="F9" s="2"/>
      <x:c r="G9" s="17"/>
      <x:c r="H9" s="18"/>
      <x:c r="I9" s="18"/>
    </x:row>
  </x:sheetData>
  <x:conditionalFormatting sqref="A4:A1003">
    <x:cfRule type="expression" dxfId="323" priority="1">
      <x:formula>AND($A4&lt;&gt;"",ISBLANK(A4))</x:formula>
    </x:cfRule>
  </x:conditionalFormatting>
  <x:conditionalFormatting sqref="B4:B1003">
    <x:cfRule type="expression" dxfId="324" priority="2">
      <x:formula>AND($A4&lt;&gt;"",ISBLANK(B4))</x:formula>
    </x:cfRule>
  </x:conditionalFormatting>
  <x:conditionalFormatting sqref="C4:C1003">
    <x:cfRule type="expression" dxfId="325" priority="3">
      <x:formula>AND($A4&lt;&gt;"",ISBLANK(C4))</x:formula>
    </x:cfRule>
  </x:conditionalFormatting>
  <x:conditionalFormatting sqref="D4:D1003">
    <x:cfRule type="expression" dxfId="326" priority="4">
      <x:formula>AND($A4&lt;&gt;"",ISBLANK(D4))</x:formula>
    </x:cfRule>
  </x:conditionalFormatting>
  <x:conditionalFormatting sqref="E4:E1003">
    <x:cfRule type="expression" dxfId="327" priority="5">
      <x:formula>AND($A4&lt;&gt;"",ISBLANK(E4))</x:formula>
    </x:cfRule>
  </x:conditionalFormatting>
  <x:conditionalFormatting sqref="F4:F1003">
    <x:cfRule type="expression" dxfId="328" priority="6">
      <x:formula>AND($A4&lt;&gt;"",ISBLANK(F4))</x:formula>
    </x:cfRule>
  </x:conditionalFormatting>
  <x:conditionalFormatting sqref="G4:G1003">
    <x:cfRule type="containsText" dxfId="329" priority="7" operator="containsText" text="candidate"/>
    <x:cfRule type="containsText" dxfId="330" priority="8" operator="containsText" text="unverified"/>
    <x:cfRule type="containsText" dxfId="331" priority="9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档位</x:v>
      </x:c>
      <x:c r="C1" s="7" t="str">
        <x:v>发放周期</x:v>
      </x:c>
      <x:c r="D1" s="7" t="str">
        <x:v>材料或货币键</x:v>
      </x:c>
      <x:c r="E1" s="7" t="str">
        <x:v>奖励内部数量</x:v>
      </x:c>
      <x:c r="F1" s="7" t="str">
        <x:v>来源绑定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tier_key</x:v>
      </x:c>
      <x:c r="C2" s="12" t="str">
        <x:v>period_key</x:v>
      </x:c>
      <x:c r="D2" s="12" t="str">
        <x:v>reward_key</x:v>
      </x:c>
      <x:c r="E2" s="12" t="str">
        <x:v>quantity_u</x:v>
      </x:c>
      <x:c r="F2" s="12" t="str">
        <x:v>bound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int / 必填 / both</x:v>
      </x:c>
      <x:c r="F3" s="15" t="str">
        <x:v>bool / 必填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7" t="str">
        <x:v>free</x:v>
      </x:c>
      <x:c r="C4" s="17" t="str">
        <x:v>daily</x:v>
      </x:c>
      <x:c r="D4" s="17" t="str">
        <x:v>enhance_stone</x:v>
      </x:c>
      <x:c r="E4" s="16" t="n">
        <x:v>2</x:v>
      </x:c>
      <x:c r="F4" s="9" t="b">
        <x:v>1</x:v>
      </x:c>
      <x:c r="G4" s="17" t="str">
        <x:v>candidate</x:v>
      </x:c>
      <x:c r="H4" s="18" t="str">
        <x:v>最终策划案.md:325-331；4.10</x:v>
      </x:c>
      <x:c r="I4" s="18" t="str"/>
    </x:row>
    <x:row r="5" ht="15" hidden="0" customHeight="1">
      <x:c r="A5" s="19" t="n">
        <x:v>2</x:v>
      </x:c>
      <x:c r="B5" s="17" t="str">
        <x:v>free</x:v>
      </x:c>
      <x:c r="C5" s="17" t="str">
        <x:v>daily</x:v>
      </x:c>
      <x:c r="D5" s="17" t="str">
        <x:v>refine_stone</x:v>
      </x:c>
      <x:c r="E5" s="16" t="n">
        <x:v>5</x:v>
      </x:c>
      <x:c r="F5" s="9" t="b">
        <x:v>1</x:v>
      </x:c>
      <x:c r="G5" s="17" t="str">
        <x:v>candidate</x:v>
      </x:c>
      <x:c r="H5" s="18" t="str">
        <x:v>最终策划案.md:325-331；4.10</x:v>
      </x:c>
      <x:c r="I5" s="18" t="str"/>
    </x:row>
    <x:row r="6" ht="15" hidden="0" customHeight="1">
      <x:c r="A6" s="19" t="n">
        <x:v>3</x:v>
      </x:c>
      <x:c r="B6" s="17" t="str">
        <x:v>free</x:v>
      </x:c>
      <x:c r="C6" s="17" t="str">
        <x:v>daily</x:v>
      </x:c>
      <x:c r="D6" s="17" t="str">
        <x:v>skill_page</x:v>
      </x:c>
      <x:c r="E6" s="16" t="n">
        <x:v>2</x:v>
      </x:c>
      <x:c r="F6" s="9" t="b">
        <x:v>1</x:v>
      </x:c>
      <x:c r="G6" s="17" t="str">
        <x:v>candidate</x:v>
      </x:c>
      <x:c r="H6" s="18" t="str">
        <x:v>最终策划案.md:325-331；4.10</x:v>
      </x:c>
      <x:c r="I6" s="18" t="str"/>
    </x:row>
    <x:row r="7" ht="15" hidden="0" customHeight="1">
      <x:c r="A7" s="19" t="n">
        <x:v>4</x:v>
      </x:c>
      <x:c r="B7" s="17" t="str">
        <x:v>paid_28</x:v>
      </x:c>
      <x:c r="C7" s="17" t="str">
        <x:v>daily</x:v>
      </x:c>
      <x:c r="D7" s="17" t="str">
        <x:v>enhance_stone</x:v>
      </x:c>
      <x:c r="E7" s="16" t="n">
        <x:v>5</x:v>
      </x:c>
      <x:c r="F7" s="9" t="b">
        <x:v>1</x:v>
      </x:c>
      <x:c r="G7" s="17" t="str">
        <x:v>candidate</x:v>
      </x:c>
      <x:c r="H7" s="18" t="str">
        <x:v>最终策划案.md:325-331；4.10</x:v>
      </x:c>
      <x:c r="I7" s="18" t="str"/>
    </x:row>
    <x:row r="8" ht="15" hidden="0" customHeight="1">
      <x:c r="A8" s="19" t="n">
        <x:v>5</x:v>
      </x:c>
      <x:c r="B8" s="17" t="str">
        <x:v>paid_28</x:v>
      </x:c>
      <x:c r="C8" s="17" t="str">
        <x:v>daily</x:v>
      </x:c>
      <x:c r="D8" s="17" t="str">
        <x:v>refine_stone</x:v>
      </x:c>
      <x:c r="E8" s="16" t="n">
        <x:v>10</x:v>
      </x:c>
      <x:c r="F8" s="9" t="b">
        <x:v>1</x:v>
      </x:c>
      <x:c r="G8" s="17" t="str">
        <x:v>candidate</x:v>
      </x:c>
      <x:c r="H8" s="18" t="str">
        <x:v>最终策划案.md:325-331；4.10</x:v>
      </x:c>
      <x:c r="I8" s="18" t="str"/>
    </x:row>
    <x:row r="9" ht="15" hidden="0" customHeight="1">
      <x:c r="A9" s="19" t="n">
        <x:v>6</x:v>
      </x:c>
      <x:c r="B9" s="17" t="str">
        <x:v>paid_28</x:v>
      </x:c>
      <x:c r="C9" s="17" t="str">
        <x:v>daily</x:v>
      </x:c>
      <x:c r="D9" s="17" t="str">
        <x:v>skill_page</x:v>
      </x:c>
      <x:c r="E9" s="16" t="n">
        <x:v>10</x:v>
      </x:c>
      <x:c r="F9" s="9" t="b">
        <x:v>1</x:v>
      </x:c>
      <x:c r="G9" s="17" t="str">
        <x:v>candidate</x:v>
      </x:c>
      <x:c r="H9" s="18" t="str">
        <x:v>最终策划案.md:325-331；4.10</x:v>
      </x:c>
      <x:c r="I9" s="18" t="str"/>
    </x:row>
    <x:row r="10" ht="15" hidden="0" customHeight="1">
      <x:c r="A10" s="19" t="n">
        <x:v>7</x:v>
      </x:c>
      <x:c r="B10" s="17" t="str">
        <x:v>paid_28</x:v>
      </x:c>
      <x:c r="C10" s="17" t="str">
        <x:v>daily</x:v>
      </x:c>
      <x:c r="D10" s="17" t="str">
        <x:v>bound_ingot</x:v>
      </x:c>
      <x:c r="E10" s="16" t="n">
        <x:v>1000</x:v>
      </x:c>
      <x:c r="F10" s="9" t="b">
        <x:v>1</x:v>
      </x:c>
      <x:c r="G10" s="17" t="str">
        <x:v>candidate</x:v>
      </x:c>
      <x:c r="H10" s="18" t="str">
        <x:v>最终策划案.md:325-331；4.10</x:v>
      </x:c>
      <x:c r="I10" s="18" t="str"/>
    </x:row>
    <x:row r="11" ht="15" hidden="0" customHeight="1">
      <x:c r="A11" s="19" t="n">
        <x:v>8</x:v>
      </x:c>
      <x:c r="B11" s="17" t="str">
        <x:v>paid_28</x:v>
      </x:c>
      <x:c r="C11" s="17" t="str">
        <x:v>daily</x:v>
      </x:c>
      <x:c r="D11" s="17" t="str">
        <x:v>bound_gold</x:v>
      </x:c>
      <x:c r="E11" s="16" t="n">
        <x:v>3000</x:v>
      </x:c>
      <x:c r="F11" s="9" t="b">
        <x:v>1</x:v>
      </x:c>
      <x:c r="G11" s="17" t="str">
        <x:v>candidate</x:v>
      </x:c>
      <x:c r="H11" s="18" t="str">
        <x:v>最终策划案.md:325-331；4.10</x:v>
      </x:c>
      <x:c r="I11" s="18" t="str"/>
    </x:row>
    <x:row r="12" ht="15" hidden="0" customHeight="1">
      <x:c r="A12" s="19" t="n">
        <x:v>9</x:v>
      </x:c>
      <x:c r="B12" s="17" t="str">
        <x:v>paid_28</x:v>
      </x:c>
      <x:c r="C12" s="17" t="str">
        <x:v>daily</x:v>
      </x:c>
      <x:c r="D12" s="17" t="str">
        <x:v>blessing_oil</x:v>
      </x:c>
      <x:c r="E12" s="16" t="n">
        <x:v>1</x:v>
      </x:c>
      <x:c r="F12" s="9" t="b">
        <x:v>1</x:v>
      </x:c>
      <x:c r="G12" s="17" t="str">
        <x:v>candidate</x:v>
      </x:c>
      <x:c r="H12" s="18" t="str">
        <x:v>最终策划案.md:325-331；4.10</x:v>
      </x:c>
      <x:c r="I12" s="18" t="str"/>
    </x:row>
    <x:row r="13" ht="15" hidden="0" customHeight="1">
      <x:c r="A13" s="19" t="n">
        <x:v>10</x:v>
      </x:c>
      <x:c r="B13" s="17" t="str">
        <x:v>paid_98</x:v>
      </x:c>
      <x:c r="C13" s="17" t="str">
        <x:v>daily</x:v>
      </x:c>
      <x:c r="D13" s="17" t="str">
        <x:v>enhance_stone</x:v>
      </x:c>
      <x:c r="E13" s="16" t="n">
        <x:v>20</x:v>
      </x:c>
      <x:c r="F13" s="9" t="b">
        <x:v>1</x:v>
      </x:c>
      <x:c r="G13" s="17" t="str">
        <x:v>candidate</x:v>
      </x:c>
      <x:c r="H13" s="18" t="str">
        <x:v>最终策划案.md:325-331；4.10</x:v>
      </x:c>
      <x:c r="I13" s="18" t="str"/>
    </x:row>
    <x:row r="14" ht="15" hidden="0" customHeight="1">
      <x:c r="A14" s="19" t="n">
        <x:v>11</x:v>
      </x:c>
      <x:c r="B14" s="17" t="str">
        <x:v>paid_98</x:v>
      </x:c>
      <x:c r="C14" s="17" t="str">
        <x:v>daily</x:v>
      </x:c>
      <x:c r="D14" s="17" t="str">
        <x:v>refine_stone</x:v>
      </x:c>
      <x:c r="E14" s="16" t="n">
        <x:v>30</x:v>
      </x:c>
      <x:c r="F14" s="9" t="b">
        <x:v>1</x:v>
      </x:c>
      <x:c r="G14" s="17" t="str">
        <x:v>candidate</x:v>
      </x:c>
      <x:c r="H14" s="18" t="str">
        <x:v>最终策划案.md:325-331；4.10</x:v>
      </x:c>
      <x:c r="I14" s="18" t="str"/>
    </x:row>
    <x:row r="15" ht="15" hidden="0" customHeight="1">
      <x:c r="A15" s="19" t="n">
        <x:v>12</x:v>
      </x:c>
      <x:c r="B15" s="17" t="str">
        <x:v>paid_98</x:v>
      </x:c>
      <x:c r="C15" s="17" t="str">
        <x:v>daily</x:v>
      </x:c>
      <x:c r="D15" s="17" t="str">
        <x:v>skill_page</x:v>
      </x:c>
      <x:c r="E15" s="16" t="n">
        <x:v>40</x:v>
      </x:c>
      <x:c r="F15" s="9" t="b">
        <x:v>1</x:v>
      </x:c>
      <x:c r="G15" s="17" t="str">
        <x:v>candidate</x:v>
      </x:c>
      <x:c r="H15" s="18" t="str">
        <x:v>最终策划案.md:325-331；4.10</x:v>
      </x:c>
      <x:c r="I15" s="18" t="str"/>
    </x:row>
    <x:row r="16" ht="15" hidden="0" customHeight="1">
      <x:c r="A16" s="19" t="n">
        <x:v>13</x:v>
      </x:c>
      <x:c r="B16" s="17" t="str">
        <x:v>paid_98</x:v>
      </x:c>
      <x:c r="C16" s="17" t="str">
        <x:v>daily</x:v>
      </x:c>
      <x:c r="D16" s="17" t="str">
        <x:v>bound_ingot</x:v>
      </x:c>
      <x:c r="E16" s="16" t="n">
        <x:v>3000</x:v>
      </x:c>
      <x:c r="F16" s="9" t="b">
        <x:v>1</x:v>
      </x:c>
      <x:c r="G16" s="17" t="str">
        <x:v>candidate</x:v>
      </x:c>
      <x:c r="H16" s="18" t="str">
        <x:v>最终策划案.md:325-331；4.10</x:v>
      </x:c>
      <x:c r="I16" s="18" t="str"/>
    </x:row>
    <x:row r="17" ht="15" hidden="0" customHeight="1">
      <x:c r="A17" s="19" t="n">
        <x:v>14</x:v>
      </x:c>
      <x:c r="B17" s="17" t="str">
        <x:v>paid_98</x:v>
      </x:c>
      <x:c r="C17" s="17" t="str">
        <x:v>daily</x:v>
      </x:c>
      <x:c r="D17" s="17" t="str">
        <x:v>bound_gold</x:v>
      </x:c>
      <x:c r="E17" s="16" t="n">
        <x:v>10000</x:v>
      </x:c>
      <x:c r="F17" s="9" t="b">
        <x:v>1</x:v>
      </x:c>
      <x:c r="G17" s="17" t="str">
        <x:v>candidate</x:v>
      </x:c>
      <x:c r="H17" s="18" t="str">
        <x:v>最终策划案.md:325-331；4.10</x:v>
      </x:c>
      <x:c r="I17" s="18" t="str"/>
    </x:row>
    <x:row r="18" ht="15" hidden="0" customHeight="1">
      <x:c r="A18" s="19" t="n">
        <x:v>15</x:v>
      </x:c>
      <x:c r="B18" s="17" t="str">
        <x:v>paid_98</x:v>
      </x:c>
      <x:c r="C18" s="17" t="str">
        <x:v>daily</x:v>
      </x:c>
      <x:c r="D18" s="17" t="str">
        <x:v>blessing_oil</x:v>
      </x:c>
      <x:c r="E18" s="16" t="n">
        <x:v>3</x:v>
      </x:c>
      <x:c r="F18" s="9" t="b">
        <x:v>1</x:v>
      </x:c>
      <x:c r="G18" s="17" t="str">
        <x:v>candidate</x:v>
      </x:c>
      <x:c r="H18" s="18" t="str">
        <x:v>最终策划案.md:325-331；4.10</x:v>
      </x:c>
      <x:c r="I18" s="18" t="str"/>
    </x:row>
    <x:row r="19" ht="15" hidden="0" customHeight="1">
      <x:c r="A19" s="19" t="n">
        <x:v>16</x:v>
      </x:c>
      <x:c r="B19" s="17" t="str">
        <x:v>paid_98</x:v>
      </x:c>
      <x:c r="C19" s="17" t="str">
        <x:v>once_per_season</x:v>
      </x:c>
      <x:c r="D19" s="17" t="str">
        <x:v>feather</x:v>
      </x:c>
      <x:c r="E19" s="16" t="n">
        <x:v>1</x:v>
      </x:c>
      <x:c r="F19" s="9" t="b">
        <x:v>1</x:v>
      </x:c>
      <x:c r="G19" s="17" t="str">
        <x:v>candidate</x:v>
      </x:c>
      <x:c r="H19" s="18" t="str">
        <x:v>最终策划案.md:325-331；4.10</x:v>
      </x:c>
      <x:c r="I19" s="18" t="str"/>
    </x:row>
  </x:sheetData>
  <x:conditionalFormatting sqref="A4:A1003">
    <x:cfRule type="expression" dxfId="332" priority="1">
      <x:formula>AND($A4&lt;&gt;"",ISBLANK(A4))</x:formula>
    </x:cfRule>
  </x:conditionalFormatting>
  <x:conditionalFormatting sqref="B4:B1003">
    <x:cfRule type="expression" dxfId="333" priority="2">
      <x:formula>AND($A4&lt;&gt;"",ISBLANK(B4))</x:formula>
    </x:cfRule>
  </x:conditionalFormatting>
  <x:conditionalFormatting sqref="C4:C1003">
    <x:cfRule type="expression" dxfId="334" priority="3">
      <x:formula>AND($A4&lt;&gt;"",ISBLANK(C4))</x:formula>
    </x:cfRule>
  </x:conditionalFormatting>
  <x:conditionalFormatting sqref="D4:D1003">
    <x:cfRule type="expression" dxfId="335" priority="4">
      <x:formula>AND($A4&lt;&gt;"",ISBLANK(D4))</x:formula>
    </x:cfRule>
  </x:conditionalFormatting>
  <x:conditionalFormatting sqref="E4:E1003">
    <x:cfRule type="expression" dxfId="336" priority="5">
      <x:formula>AND($A4&lt;&gt;"",ISBLANK(E4))</x:formula>
    </x:cfRule>
  </x:conditionalFormatting>
  <x:conditionalFormatting sqref="F4:F1003">
    <x:cfRule type="expression" dxfId="337" priority="6">
      <x:formula>AND($A4&lt;&gt;"",ISBLANK(F4))</x:formula>
    </x:cfRule>
  </x:conditionalFormatting>
  <x:conditionalFormatting sqref="G4:G1003">
    <x:cfRule type="containsText" dxfId="338" priority="7" operator="containsText" text="candidate"/>
    <x:cfRule type="containsText" dxfId="339" priority="8" operator="containsText" text="unverified"/>
    <x:cfRule type="containsText" dxfId="340" priority="9" operator="containsText" text="historical"/>
  </x:conditionalFormatting>
  <x:dataValidations count="2">
    <x:dataValidation type="list" sqref="C4:C1003">
      <x:formula1>"daily,once_per_season"</x:formula1>
    </x:dataValidation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first_recharge_cash_fen</x:v>
      </x:c>
      <x:c r="C4" s="17" t="str">
        <x:v>600</x:v>
      </x:c>
      <x:c r="D4" s="17" t="str">
        <x:v>candidate</x:v>
      </x:c>
      <x:c r="E4" s="18" t="str">
        <x:v>最终策划案.md:137-145、370-376；4.3、4.12</x:v>
      </x:c>
      <x:c r="F4" s="18" t="str"/>
    </x:row>
    <x:row r="5" ht="26.399999618530273" hidden="0" customHeight="1">
      <x:c r="A5" s="19" t="n">
        <x:v>2</x:v>
      </x:c>
      <x:c r="B5" s="17" t="str">
        <x:v>first_recharge_rewards</x:v>
      </x:c>
      <x:c r="C5" s="17" t="str">
        <x:v>[{"kind":"epic_weapon","bound":true,"quantity":1},{"kind":"enhance_stone","bound":true,"quantity":10}]</x:v>
      </x:c>
      <x:c r="D5" s="17" t="str">
        <x:v>candidate</x:v>
      </x:c>
      <x:c r="E5" s="18" t="str">
        <x:v>最终策划案.md:137-145、370-376；4.3、4.12</x:v>
      </x:c>
      <x:c r="F5" s="18" t="str"/>
    </x:row>
    <x:row r="6" ht="15" hidden="0" customHeight="1">
      <x:c r="A6" s="19" t="n">
        <x:v>3</x:v>
      </x:c>
      <x:c r="B6" s="17" t="str">
        <x:v>recharge_display_ingot_per_yuan</x:v>
      </x:c>
      <x:c r="C6" s="17" t="str">
        <x:v>100</x:v>
      </x:c>
      <x:c r="D6" s="17" t="str">
        <x:v>confirmed</x:v>
      </x:c>
      <x:c r="E6" s="18" t="str">
        <x:v>最终策划案.md:137-145、370-376；4.3、4.12</x:v>
      </x:c>
      <x:c r="F6" s="18" t="str"/>
    </x:row>
    <x:row r="7" ht="15" hidden="0" customHeight="1">
      <x:c r="A7" s="19" t="n">
        <x:v>4</x:v>
      </x:c>
      <x:c r="B7" s="17" t="str">
        <x:v>recharge_internal_ingot_u_per_yuan</x:v>
      </x:c>
      <x:c r="C7" s="17" t="str">
        <x:v>1000</x:v>
      </x:c>
      <x:c r="D7" s="17" t="str">
        <x:v>confirmed</x:v>
      </x:c>
      <x:c r="E7" s="18" t="str">
        <x:v>最终策划案.md:137-145、370-376；4.3、4.12</x:v>
      </x:c>
      <x:c r="F7" s="18" t="str"/>
    </x:row>
    <x:row r="8" ht="15" hidden="0" customHeight="1">
      <x:c r="A8" s="19" t="n">
        <x:v>5</x:v>
      </x:c>
      <x:c r="B8" s="17" t="str">
        <x:v>cash_card_or_pass_purchase_mints_ingot</x:v>
      </x:c>
      <x:c r="C8" s="17" t="str">
        <x:v>false</x:v>
      </x:c>
      <x:c r="D8" s="17" t="str">
        <x:v>confirmed</x:v>
      </x:c>
      <x:c r="E8" s="18" t="str">
        <x:v>最终策划案.md:137-145、370-376；4.3、4.12</x:v>
      </x:c>
      <x:c r="F8" s="18" t="str"/>
    </x:row>
    <x:row r="9" ht="15" hidden="0" customHeight="1">
      <x:c r="A9" s="19" t="n">
        <x:v>6</x:v>
      </x:c>
      <x:c r="B9" s="17" t="str">
        <x:v>investment_p0_open</x:v>
      </x:c>
      <x:c r="C9" s="17" t="str">
        <x:v>false</x:v>
      </x:c>
      <x:c r="D9" s="17" t="str">
        <x:v>confirmed</x:v>
      </x:c>
      <x:c r="E9" s="18" t="str">
        <x:v>最终策划案.md:137-145、370-376；4.3、4.12</x:v>
      </x:c>
      <x:c r="F9" s="18" t="str"/>
    </x:row>
    <x:row r="10" ht="15" hidden="0" customHeight="1">
      <x:c r="A10" s="19" t="n">
        <x:v>7</x:v>
      </x:c>
      <x:c r="B10" s="17" t="str">
        <x:v>ad_reward_requires_verified_unique_event</x:v>
      </x:c>
      <x:c r="C10" s="17" t="str">
        <x:v>true</x:v>
      </x:c>
      <x:c r="D10" s="17" t="str">
        <x:v>confirmed</x:v>
      </x:c>
      <x:c r="E10" s="18" t="str">
        <x:v>最终策划案.md:137-145、370-376；4.3、4.12</x:v>
      </x:c>
      <x:c r="F10" s="18" t="str"/>
    </x:row>
    <x:row r="11" ht="15" hidden="0" customHeight="1">
      <x:c r="A11" s="19" t="n">
        <x:v>8</x:v>
      </x:c>
      <x:c r="B11" s="17" t="str">
        <x:v>ad_limits_scope</x:v>
      </x:c>
      <x:c r="C11" s="17" t="str">
        <x:v>["account","device","ip"]</x:v>
      </x:c>
      <x:c r="D11" s="17" t="str">
        <x:v>confirmed</x:v>
      </x:c>
      <x:c r="E11" s="18" t="str">
        <x:v>最终策划案.md:137-145、370-376；4.3、4.12</x:v>
      </x:c>
      <x:c r="F11" s="18" t="str"/>
    </x:row>
  </x:sheetData>
  <x:conditionalFormatting sqref="A4:A1003">
    <x:cfRule type="expression" dxfId="341" priority="1">
      <x:formula>AND($A4&lt;&gt;"",ISBLANK(A4))</x:formula>
    </x:cfRule>
  </x:conditionalFormatting>
  <x:conditionalFormatting sqref="B4:B1003">
    <x:cfRule type="expression" dxfId="342" priority="2">
      <x:formula>AND($A4&lt;&gt;"",ISBLANK(B4))</x:formula>
    </x:cfRule>
  </x:conditionalFormatting>
  <x:conditionalFormatting sqref="C4:C1003">
    <x:cfRule type="expression" dxfId="343" priority="3">
      <x:formula>AND($A4&lt;&gt;"",ISBLANK(C4))</x:formula>
    </x:cfRule>
  </x:conditionalFormatting>
  <x:conditionalFormatting sqref="D4:D1003">
    <x:cfRule type="containsText" dxfId="344" priority="4" operator="containsText" text="candidate"/>
    <x:cfRule type="containsText" dxfId="345" priority="5" operator="containsText" text="unverified"/>
    <x:cfRule type="containsText" dxfId="346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预算组</x:v>
      </x:c>
      <x:c r="C1" s="7" t="str">
        <x:v>首测目标或上限</x:v>
      </x:c>
      <x:c r="D1" s="7" t="str">
        <x:v>约束类型</x:v>
      </x:c>
      <x:c r="E1" s="7" t="str">
        <x:v>同组叠加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budget_key</x:v>
      </x:c>
      <x:c r="C2" s="12" t="str">
        <x:v>limit_bp</x:v>
      </x:c>
      <x:c r="D2" s="12" t="str">
        <x:v>constraint_kind</x:v>
      </x:c>
      <x:c r="E2" s="12" t="str">
        <x:v>stacking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万分率 / both</x:v>
      </x:c>
      <x:c r="D3" s="15" t="str">
        <x:v>string / 必填 / both</x:v>
      </x:c>
      <x:c r="E3" s="15" t="str">
        <x:v>string / 必填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 t="n">
        <x:v>1</x:v>
      </x:c>
      <x:c r="B4" s="17" t="str">
        <x:v>expanded_damage</x:v>
      </x:c>
      <x:c r="C4" s="16" t="n">
        <x:v>2000</x:v>
      </x:c>
      <x:c r="D4" s="17" t="str">
        <x:v>hard_cap_candidate</x:v>
      </x:c>
      <x:c r="E4" s="17" t="str">
        <x:v>additive</x:v>
      </x:c>
      <x:c r="F4" s="17" t="str">
        <x:v>candidate</x:v>
      </x:c>
      <x:c r="G4" s="18" t="str">
        <x:v>最终策划案.md:754-785；5.10</x:v>
      </x:c>
      <x:c r="H4" s="18" t="str">
        <x:v>首测验收目标，未通过仿真，不能宣称已平衡。</x:v>
      </x:c>
    </x:row>
    <x:row r="5" ht="15" hidden="0" customHeight="1">
      <x:c r="A5" s="19" t="n">
        <x:v>2</x:v>
      </x:c>
      <x:c r="B5" s="17" t="str">
        <x:v>expanded_absorption</x:v>
      </x:c>
      <x:c r="C5" s="16" t="n">
        <x:v>2000</x:v>
      </x:c>
      <x:c r="D5" s="17" t="str">
        <x:v>hard_cap_candidate</x:v>
      </x:c>
      <x:c r="E5" s="17" t="str">
        <x:v>additive</x:v>
      </x:c>
      <x:c r="F5" s="17" t="str">
        <x:v>candidate</x:v>
      </x:c>
      <x:c r="G5" s="18" t="str">
        <x:v>最终策划案.md:754-785；5.10</x:v>
      </x:c>
      <x:c r="H5" s="18" t="str">
        <x:v>首测验收目标，未通过仿真，不能宣称已平衡。</x:v>
      </x:c>
    </x:row>
    <x:row r="6" ht="26.399999618530273" hidden="0" customHeight="1">
      <x:c r="A6" s="19" t="n">
        <x:v>3</x:v>
      </x:c>
      <x:c r="B6" s="17" t="str">
        <x:v>independent_growth_output</x:v>
      </x:c>
      <x:c r="C6" s="16" t="n">
        <x:v>3000</x:v>
      </x:c>
      <x:c r="D6" s="17" t="str">
        <x:v>target_increase</x:v>
      </x:c>
      <x:c r="E6" s="17" t="str">
        <x:v>joint_simulation</x:v>
      </x:c>
      <x:c r="F6" s="17" t="str">
        <x:v>candidate</x:v>
      </x:c>
      <x:c r="G6" s="18" t="str">
        <x:v>最终策划案.md:754-785；5.10</x:v>
      </x:c>
      <x:c r="H6" s="18" t="str">
        <x:v>首测验收目标，未通过仿真，不能宣称已平衡。</x:v>
      </x:c>
    </x:row>
    <x:row r="7" ht="26.399999618530273" hidden="0" customHeight="1">
      <x:c r="A7" s="19" t="n">
        <x:v>4</x:v>
      </x:c>
      <x:c r="B7" s="17" t="str">
        <x:v>independent_growth_survival</x:v>
      </x:c>
      <x:c r="C7" s="16" t="n">
        <x:v>4000</x:v>
      </x:c>
      <x:c r="D7" s="17" t="str">
        <x:v>target_increase</x:v>
      </x:c>
      <x:c r="E7" s="17" t="str">
        <x:v>joint_simulation</x:v>
      </x:c>
      <x:c r="F7" s="17" t="str">
        <x:v>candidate</x:v>
      </x:c>
      <x:c r="G7" s="18" t="str">
        <x:v>最终策划案.md:754-785；5.10</x:v>
      </x:c>
      <x:c r="H7" s="18" t="str">
        <x:v>首测验收目标，未通过仿真，不能宣称已平衡。</x:v>
      </x:c>
    </x:row>
    <x:row r="8" ht="15" hidden="0" customHeight="1">
      <x:c r="A8" s="19"/>
      <x:c r="B8" s="17"/>
      <x:c r="C8" s="16"/>
      <x:c r="D8" s="17"/>
      <x:c r="E8" s="17"/>
      <x:c r="F8" s="17"/>
      <x:c r="G8" s="18"/>
      <x:c r="H8" s="18"/>
    </x:row>
    <x:row r="9" ht="15" hidden="0" customHeight="1">
      <x:c r="A9" s="19"/>
      <x:c r="B9" s="17"/>
      <x:c r="C9" s="16"/>
      <x:c r="D9" s="17"/>
      <x:c r="E9" s="17"/>
      <x:c r="F9" s="17"/>
      <x:c r="G9" s="18"/>
      <x:c r="H9" s="18"/>
    </x:row>
  </x:sheetData>
  <x:conditionalFormatting sqref="A4:A1003">
    <x:cfRule type="expression" dxfId="347" priority="1">
      <x:formula>AND($A4&lt;&gt;"",ISBLANK(A4))</x:formula>
    </x:cfRule>
  </x:conditionalFormatting>
  <x:conditionalFormatting sqref="B4:B1003">
    <x:cfRule type="expression" dxfId="348" priority="2">
      <x:formula>AND($A4&lt;&gt;"",ISBLANK(B4))</x:formula>
    </x:cfRule>
  </x:conditionalFormatting>
  <x:conditionalFormatting sqref="C4:C1003">
    <x:cfRule type="expression" dxfId="349" priority="3">
      <x:formula>AND($A4&lt;&gt;"",ISBLANK(C4))</x:formula>
    </x:cfRule>
  </x:conditionalFormatting>
  <x:conditionalFormatting sqref="D4:D1003">
    <x:cfRule type="expression" dxfId="350" priority="4">
      <x:formula>AND($A4&lt;&gt;"",ISBLANK(D4))</x:formula>
    </x:cfRule>
  </x:conditionalFormatting>
  <x:conditionalFormatting sqref="E4:E1003">
    <x:cfRule type="expression" dxfId="351" priority="5">
      <x:formula>AND($A4&lt;&gt;"",ISBLANK(E4))</x:formula>
    </x:cfRule>
  </x:conditionalFormatting>
  <x:conditionalFormatting sqref="F4:F1003">
    <x:cfRule type="containsText" dxfId="352" priority="6" operator="containsText" text="candidate"/>
    <x:cfRule type="containsText" dxfId="353" priority="7" operator="containsText" text="unverified"/>
    <x:cfRule type="containsText" dxfId="354" priority="8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design_width</x:v>
      </x:c>
      <x:c r="C4" s="17" t="str">
        <x:v>720</x:v>
      </x:c>
      <x:c r="D4" s="17" t="str">
        <x:v>confirmed</x:v>
      </x:c>
      <x:c r="E4" s="18" t="str">
        <x:v>最终策划案.md:31、378-433；1、4.13、4.15、4.16</x:v>
      </x:c>
      <x:c r="F4" s="18" t="str"/>
    </x:row>
    <x:row r="5" ht="26.399999618530273" hidden="0" customHeight="1">
      <x:c r="A5" s="19" t="n">
        <x:v>2</x:v>
      </x:c>
      <x:c r="B5" s="17" t="str">
        <x:v>design_height</x:v>
      </x:c>
      <x:c r="C5" s="17" t="str">
        <x:v>1280</x:v>
      </x:c>
      <x:c r="D5" s="17" t="str">
        <x:v>confirmed</x:v>
      </x:c>
      <x:c r="E5" s="18" t="str">
        <x:v>最终策划案.md:31；用户2026-10-26屏幕适配补充</x:v>
      </x:c>
      <x:c r="F5" s="18" t="str">
        <x:v>720×1280为设计基准。同宽屏幕加高时，UI尺寸与顶底停靠不变，额外高度仅给战斗地图视口；地图、角色贴图不拉伸，逻辑地图格数不变。</x:v>
      </x:c>
    </x:row>
    <x:row r="6" ht="15" hidden="0" customHeight="1">
      <x:c r="A6" s="19" t="n">
        <x:v>3</x:v>
      </x:c>
      <x:c r="B6" s="17" t="str">
        <x:v>min_label_font_size</x:v>
      </x:c>
      <x:c r="C6" s="17" t="str">
        <x:v>24</x:v>
      </x:c>
      <x:c r="D6" s="17" t="str">
        <x:v>confirmed</x:v>
      </x:c>
      <x:c r="E6" s="18" t="str">
        <x:v>最终策划案.md:31、378-433；1、4.13、4.15、4.16</x:v>
      </x:c>
      <x:c r="F6" s="18" t="str"/>
    </x:row>
    <x:row r="7" ht="15" hidden="0" customHeight="1">
      <x:c r="A7" s="19" t="n">
        <x:v>4</x:v>
      </x:c>
      <x:c r="B7" s="17" t="str">
        <x:v>direction_count</x:v>
      </x:c>
      <x:c r="C7" s="17" t="str">
        <x:v>8</x:v>
      </x:c>
      <x:c r="D7" s="17" t="str">
        <x:v>confirmed</x:v>
      </x:c>
      <x:c r="E7" s="18" t="str">
        <x:v>最终策划案.md:31、378-433；1、4.13、4.15、4.16</x:v>
      </x:c>
      <x:c r="F7" s="18" t="str"/>
    </x:row>
    <x:row r="8" ht="15" hidden="0" customHeight="1">
      <x:c r="A8" s="19" t="n">
        <x:v>5</x:v>
      </x:c>
      <x:c r="B8" s="17" t="str">
        <x:v>ordinary_map_width</x:v>
      </x:c>
      <x:c r="C8" s="17" t="str">
        <x:v>16</x:v>
      </x:c>
      <x:c r="D8" s="17" t="str">
        <x:v>candidate</x:v>
      </x:c>
      <x:c r="E8" s="18" t="str">
        <x:v>最终策划案.md:31、378-433；1、4.13、4.15、4.16</x:v>
      </x:c>
      <x:c r="F8" s="18" t="str"/>
    </x:row>
    <x:row r="9" ht="15" hidden="0" customHeight="1">
      <x:c r="A9" s="19" t="n">
        <x:v>6</x:v>
      </x:c>
      <x:c r="B9" s="17" t="str">
        <x:v>ordinary_map_height</x:v>
      </x:c>
      <x:c r="C9" s="17" t="str">
        <x:v>16</x:v>
      </x:c>
      <x:c r="D9" s="17" t="str">
        <x:v>candidate</x:v>
      </x:c>
      <x:c r="E9" s="18" t="str">
        <x:v>最终策划案.md:31、378-433；1、4.13、4.15、4.16</x:v>
      </x:c>
      <x:c r="F9" s="18" t="str"/>
    </x:row>
    <x:row r="10" ht="15" hidden="0" customHeight="1">
      <x:c r="A10" s="19" t="n">
        <x:v>7</x:v>
      </x:c>
      <x:c r="B10" s="17" t="str">
        <x:v>spawn_activity_area</x:v>
      </x:c>
      <x:c r="C10" s="17" t="str">
        <x:v>[8,10]</x:v>
      </x:c>
      <x:c r="D10" s="17" t="str">
        <x:v>candidate</x:v>
      </x:c>
      <x:c r="E10" s="18" t="str">
        <x:v>最终策划案.md:31、378-433；1、4.13、4.15、4.16</x:v>
      </x:c>
      <x:c r="F10" s="18" t="str">
        <x:v>中心8x8至10x10格活动区，形状待真机验证。</x:v>
      </x:c>
    </x:row>
    <x:row r="11" ht="15" hidden="0" customHeight="1">
      <x:c r="A11" s="19" t="n">
        <x:v>8</x:v>
      </x:c>
      <x:c r="B11" s="17" t="str">
        <x:v>alternative_map_size</x:v>
      </x:c>
      <x:c r="C11" s="17" t="str">
        <x:v>12</x:v>
      </x:c>
      <x:c r="D11" s="17" t="str">
        <x:v>candidate</x:v>
      </x:c>
      <x:c r="E11" s="18" t="str">
        <x:v>最终策划案.md:31、378-433；1、4.13、4.15、4.16</x:v>
      </x:c>
      <x:c r="F11" s="18" t="str"/>
    </x:row>
    <x:row r="12" ht="15" hidden="0" customHeight="1">
      <x:c r="A12" s="19" t="n">
        <x:v>9</x:v>
      </x:c>
      <x:c r="B12" s="17" t="str">
        <x:v>tile_projection_start_pixels</x:v>
      </x:c>
      <x:c r="C12" s="17" t="str">
        <x:v>[64,32]</x:v>
      </x:c>
      <x:c r="D12" s="17" t="str">
        <x:v>candidate</x:v>
      </x:c>
      <x:c r="E12" s="18" t="str">
        <x:v>最终策划案.md:31、378-433；1、4.13、4.15、4.16</x:v>
      </x:c>
      <x:c r="F12" s="18" t="str"/>
    </x:row>
    <x:row r="13" ht="15" hidden="0" customHeight="1">
      <x:c r="A13" s="19" t="n">
        <x:v>10</x:v>
      </x:c>
      <x:c r="B13" s="17" t="str">
        <x:v>damage_float_visible_limit</x:v>
      </x:c>
      <x:c r="C13" s="17" t="str">
        <x:v>10</x:v>
      </x:c>
      <x:c r="D13" s="17" t="str">
        <x:v>candidate</x:v>
      </x:c>
      <x:c r="E13" s="18" t="str">
        <x:v>最终策划案.md:31、378-433；1、4.13、4.15、4.16</x:v>
      </x:c>
      <x:c r="F13" s="18" t="str"/>
    </x:row>
    <x:row r="14" ht="15" hidden="0" customHeight="1">
      <x:c r="A14" s="19" t="n">
        <x:v>11</x:v>
      </x:c>
      <x:c r="B14" s="17" t="str">
        <x:v>fps_low_end_target</x:v>
      </x:c>
      <x:c r="C14" s="17" t="str">
        <x:v>30</x:v>
      </x:c>
      <x:c r="D14" s="17" t="str">
        <x:v>candidate</x:v>
      </x:c>
      <x:c r="E14" s="18" t="str">
        <x:v>最终策划案.md:31、378-433；1、4.13、4.15、4.16</x:v>
      </x:c>
      <x:c r="F14" s="18" t="str"/>
    </x:row>
    <x:row r="15" ht="15" hidden="0" customHeight="1">
      <x:c r="A15" s="19" t="n">
        <x:v>12</x:v>
      </x:c>
      <x:c r="B15" s="17" t="str">
        <x:v>fps_regular_target</x:v>
      </x:c>
      <x:c r="C15" s="17" t="str">
        <x:v>60</x:v>
      </x:c>
      <x:c r="D15" s="17" t="str">
        <x:v>candidate</x:v>
      </x:c>
      <x:c r="E15" s="18" t="str">
        <x:v>最终策划案.md:31、378-433；1、4.13、4.15、4.16</x:v>
      </x:c>
      <x:c r="F15" s="18" t="str"/>
    </x:row>
    <x:row r="16" ht="15" hidden="0" customHeight="1">
      <x:c r="A16" s="19" t="n">
        <x:v>13</x:v>
      </x:c>
      <x:c r="B16" s="17" t="str">
        <x:v>affix_fixed_display_decimals</x:v>
      </x:c>
      <x:c r="C16" s="17" t="str">
        <x:v>1</x:v>
      </x:c>
      <x:c r="D16" s="17" t="str">
        <x:v>confirmed</x:v>
      </x:c>
      <x:c r="E16" s="18" t="str">
        <x:v>最终策划案.md:31、378-433；1、4.13、4.15、4.16</x:v>
      </x:c>
      <x:c r="F16" s="18" t="str"/>
    </x:row>
    <x:row r="17" ht="15" hidden="0" customHeight="1">
      <x:c r="A17" s="19" t="n">
        <x:v>14</x:v>
      </x:c>
      <x:c r="B17" s="17" t="str">
        <x:v>affix_percent_display_decimals</x:v>
      </x:c>
      <x:c r="C17" s="17" t="str">
        <x:v>2</x:v>
      </x:c>
      <x:c r="D17" s="17" t="str">
        <x:v>confirmed</x:v>
      </x:c>
      <x:c r="E17" s="18" t="str">
        <x:v>最终策划案.md:31、378-433；1、4.13、4.15、4.16</x:v>
      </x:c>
      <x:c r="F17" s="18" t="str"/>
    </x:row>
    <x:row r="18" ht="15" hidden="0" customHeight="1">
      <x:c r="A18" s="19" t="n">
        <x:v>15</x:v>
      </x:c>
      <x:c r="B18" s="17" t="str">
        <x:v>ingot_display_decimals</x:v>
      </x:c>
      <x:c r="C18" s="17" t="str">
        <x:v>1</x:v>
      </x:c>
      <x:c r="D18" s="17" t="str">
        <x:v>confirmed</x:v>
      </x:c>
      <x:c r="E18" s="18" t="str">
        <x:v>最终策划案.md:31、378-433；1、4.13、4.15、4.16</x:v>
      </x:c>
      <x:c r="F18" s="18" t="str"/>
    </x:row>
    <x:row r="19" ht="15" hidden="0" customHeight="1">
      <x:c r="A19" s="19" t="n">
        <x:v>16</x:v>
      </x:c>
      <x:c r="B19" s="17" t="str">
        <x:v>ui_fixed_assets</x:v>
      </x:c>
      <x:c r="C19" s="17" t="str">
        <x:v>[".scene",".prefab"]</x:v>
      </x:c>
      <x:c r="D19" s="17" t="str">
        <x:v>confirmed</x:v>
      </x:c>
      <x:c r="E19" s="18" t="str">
        <x:v>最终策划案.md:31、378-433；1、4.13、4.15、4.16</x:v>
      </x:c>
      <x:c r="F19" s="18" t="str"/>
    </x:row>
    <x:row r="20" ht="26.399999618530273" hidden="0" customHeight="1">
      <x:c r="A20" s="19" t="n">
        <x:v>17</x:v>
      </x:c>
      <x:c r="B20" s="17" t="str">
        <x:v>ui_widgets</x:v>
      </x:c>
      <x:c r="C20" s="17" t="str">
        <x:v>["Sprite","Button","Toggle","ProgressBar","EditBox","ScrollView","Mask","Widget","SafeArea"]</x:v>
      </x:c>
      <x:c r="D20" s="17" t="str">
        <x:v>confirmed</x:v>
      </x:c>
      <x:c r="E20" s="18" t="str">
        <x:v>最终策划案.md:31、378-433；1、4.13、4.15、4.16</x:v>
      </x:c>
      <x:c r="F20" s="18" t="str"/>
    </x:row>
    <x:row r="21" ht="15" hidden="0" customHeight="1">
      <x:c r="A21" s="19" t="n">
        <x:v>18</x:v>
      </x:c>
      <x:c r="B21" s="17" t="str">
        <x:v>close_top_popup_keeps_underlying_scroll</x:v>
      </x:c>
      <x:c r="C21" s="17" t="str">
        <x:v>true</x:v>
      </x:c>
      <x:c r="D21" s="17" t="str">
        <x:v>confirmed</x:v>
      </x:c>
      <x:c r="E21" s="18" t="str">
        <x:v>最终策划案.md:31、378-433；1、4.13、4.15、4.16</x:v>
      </x:c>
      <x:c r="F21" s="18" t="str"/>
    </x:row>
    <x:row r="22" ht="15" hidden="0" customHeight="1">
      <x:c r="A22" s="19" t="n">
        <x:v>19</x:v>
      </x:c>
      <x:c r="B22" s="17" t="str">
        <x:v>navigation_preserved_on</x:v>
      </x:c>
      <x:c r="C22" s="17" t="str">
        <x:v>["panel","chat","entity_click","focus_lost","background","resize"]</x:v>
      </x:c>
      <x:c r="D22" s="17" t="str">
        <x:v>confirmed</x:v>
      </x:c>
      <x:c r="E22" s="18" t="str">
        <x:v>最终策划案.md:31、378-433；1、4.13、4.15、4.16</x:v>
      </x:c>
      <x:c r="F22" s="18" t="str"/>
    </x:row>
    <x:row r="23" ht="15" hidden="0" customHeight="1">
      <x:c r="A23" s="19" t="n">
        <x:v>20</x:v>
      </x:c>
      <x:c r="B23" s="17" t="str">
        <x:v>joystick_release_on</x:v>
      </x:c>
      <x:c r="C23" s="17" t="str">
        <x:v>["focus_lost","background","resize"]</x:v>
      </x:c>
      <x:c r="D23" s="17" t="str">
        <x:v>confirmed</x:v>
      </x:c>
      <x:c r="E23" s="18" t="str">
        <x:v>最终策划案.md:31、378-433；1、4.13、4.15、4.16</x:v>
      </x:c>
      <x:c r="F23" s="18" t="str"/>
    </x:row>
    <x:row r="24" ht="26.399999618530273" hidden="0" customHeight="1">
      <x:c r="A24" s="19" t="n">
        <x:v>21</x:v>
      </x:c>
      <x:c r="B24" s="17" t="str">
        <x:v>highest_main_ui_reference</x:v>
      </x:c>
      <x:c r="C24" s="17" t="str">
        <x:v>"UI参考图/用户确认/主界面UI布局参考.png"</x:v>
      </x:c>
      <x:c r="D24" s="17" t="str">
        <x:v>confirmed</x:v>
      </x:c>
      <x:c r="E24" s="18" t="str">
        <x:v>用户2026-10-26确认图片；资料索引/用户确认参考.json</x:v>
      </x:c>
      <x:c r="F24" s="18" t="str">
        <x:v>用户指定该PNG为当前最高布局参考。原策划JPG未定位，与上级既有PNG的同版关系待定；截图数值不写入玩法配置。</x:v>
      </x:c>
    </x:row>
    <x:row r="25" ht="26.399999618530273" hidden="0" customHeight="1">
      <x:c r="A25" s="19" t="n">
        <x:v>22</x:v>
      </x:c>
      <x:c r="B25" s="17" t="str">
        <x:v>main_ui_reference_verified</x:v>
      </x:c>
      <x:c r="C25" s="17" t="str">
        <x:v>false</x:v>
      </x:c>
      <x:c r="D25" s="17" t="str">
        <x:v>unverified</x:v>
      </x:c>
      <x:c r="E25" s="18" t="str">
        <x:v>用户2026-10-26确认图片；资料索引/用户确认参考.json</x:v>
      </x:c>
      <x:c r="F25" s="18" t="str">
        <x:v>参考来源已确认；仍需按最终策划制作可编辑场景/预制体并完成适配和真机验收，main_ui_reference_verified保持false。</x:v>
      </x:c>
    </x:row>
  </x:sheetData>
  <x:conditionalFormatting sqref="A4:A1003">
    <x:cfRule type="expression" dxfId="355" priority="1">
      <x:formula>AND($A4&lt;&gt;"",ISBLANK(A4))</x:formula>
    </x:cfRule>
  </x:conditionalFormatting>
  <x:conditionalFormatting sqref="B4:B1003">
    <x:cfRule type="expression" dxfId="356" priority="2">
      <x:formula>AND($A4&lt;&gt;"",ISBLANK(B4))</x:formula>
    </x:cfRule>
  </x:conditionalFormatting>
  <x:conditionalFormatting sqref="C4:C1003">
    <x:cfRule type="expression" dxfId="357" priority="3">
      <x:formula>AND($A4&lt;&gt;"",ISBLANK(C4))</x:formula>
    </x:cfRule>
  </x:conditionalFormatting>
  <x:conditionalFormatting sqref="D4:D1003">
    <x:cfRule type="containsText" dxfId="358" priority="4" operator="containsText" text="candidate"/>
    <x:cfRule type="containsText" dxfId="359" priority="5" operator="containsText" text="unverified"/>
    <x:cfRule type="containsText" dxfId="360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9" hidden="0" customWidth="1"/>
    <x:col min="15" max="15" width="19" hidden="0" customWidth="1"/>
    <x:col min="16" max="16" width="18" hidden="0" customWidth="1"/>
    <x:col min="17" max="17" width="18" hidden="0" customWidth="1"/>
    <x:col min="18" max="18" width="54" hidden="0" customWidth="1"/>
    <x:col min="19" max="19" width="18" hidden="0" customWidth="1"/>
    <x:col min="20" max="20" width="48" hidden="0" customWidth="1"/>
    <x:col min="21" max="21" width="70" hidden="0" customWidth="1"/>
  </x:cols>
  <x:sheetData>
    <x:row r="1" ht="30" customHeight="1">
      <x:c r="A1" s="7" t="str">
        <x:v>配置编号</x:v>
      </x:c>
      <x:c r="B1" s="7" t="str">
        <x:v>职业</x:v>
      </x:c>
      <x:c r="C1" s="7" t="str">
        <x:v>等级</x:v>
      </x:c>
      <x:c r="D1" s="7" t="str">
        <x:v>生命</x:v>
      </x:c>
      <x:c r="E1" s="7" t="str">
        <x:v>魔法</x:v>
      </x:c>
      <x:c r="F1" s="7" t="str">
        <x:v>攻击下限</x:v>
      </x:c>
      <x:c r="G1" s="7" t="str">
        <x:v>攻击上限</x:v>
      </x:c>
      <x:c r="H1" s="7" t="str">
        <x:v>魔法下限</x:v>
      </x:c>
      <x:c r="I1" s="7" t="str">
        <x:v>魔法上限</x:v>
      </x:c>
      <x:c r="J1" s="7" t="str">
        <x:v>道术下限</x:v>
      </x:c>
      <x:c r="K1" s="7" t="str">
        <x:v>道术上限</x:v>
      </x:c>
      <x:c r="L1" s="7" t="str">
        <x:v>防御下限</x:v>
      </x:c>
      <x:c r="M1" s="7" t="str">
        <x:v>防御上限</x:v>
      </x:c>
      <x:c r="N1" s="7" t="str">
        <x:v>魔御下限</x:v>
      </x:c>
      <x:c r="O1" s="7" t="str">
        <x:v>魔御上限</x:v>
      </x:c>
      <x:c r="P1" s="7" t="str">
        <x:v>准确</x:v>
      </x:c>
      <x:c r="Q1" s="7" t="str">
        <x:v>敏捷</x:v>
      </x:c>
      <x:c r="R1" s="7" t="str">
        <x:v>负重限制</x:v>
      </x:c>
      <x:c r="S1" s="7" t="str">
        <x:v>参数状态</x:v>
      </x:c>
      <x:c r="T1" s="7" t="str">
        <x:v>来源章节与行号</x:v>
      </x:c>
      <x:c r="U1" s="7" t="str">
        <x:v>说明</x:v>
      </x:c>
    </x:row>
    <x:row r="2" ht="30" customHeight="1">
      <x:c r="A2" s="12" t="str">
        <x:v>id</x:v>
      </x:c>
      <x:c r="B2" s="12" t="str">
        <x:v>class_id</x:v>
      </x:c>
      <x:c r="C2" s="12" t="str">
        <x:v>level</x:v>
      </x:c>
      <x:c r="D2" s="12" t="str">
        <x:v>hp</x:v>
      </x:c>
      <x:c r="E2" s="12" t="str">
        <x:v>mp</x:v>
      </x:c>
      <x:c r="F2" s="12" t="str">
        <x:v>attack_min</x:v>
      </x:c>
      <x:c r="G2" s="12" t="str">
        <x:v>attack_max</x:v>
      </x:c>
      <x:c r="H2" s="12" t="str">
        <x:v>magic_min</x:v>
      </x:c>
      <x:c r="I2" s="12" t="str">
        <x:v>magic_max</x:v>
      </x:c>
      <x:c r="J2" s="12" t="str">
        <x:v>tao_min</x:v>
      </x:c>
      <x:c r="K2" s="12" t="str">
        <x:v>tao_max</x:v>
      </x:c>
      <x:c r="L2" s="12" t="str">
        <x:v>defence_min</x:v>
      </x:c>
      <x:c r="M2" s="12" t="str">
        <x:v>defence_max</x:v>
      </x:c>
      <x:c r="N2" s="12" t="str">
        <x:v>magic_defence_min</x:v>
      </x:c>
      <x:c r="O2" s="12" t="str">
        <x:v>magic_defence_max</x:v>
      </x:c>
      <x:c r="P2" s="12" t="str">
        <x:v>accuracy</x:v>
      </x:c>
      <x:c r="Q2" s="12" t="str">
        <x:v>agility</x:v>
      </x:c>
      <x:c r="R2" s="12" t="str">
        <x:v>weight_limits</x:v>
      </x:c>
      <x:c r="S2" s="12" t="str">
        <x:v>record_status</x:v>
      </x:c>
      <x:c r="T2" s="12" t="str">
        <x:v>source_ref</x:v>
      </x:c>
      <x:c r="U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int / 必填 / both</x:v>
      </x:c>
      <x:c r="G3" s="15" t="str">
        <x:v>int / 必填 / both</x:v>
      </x:c>
      <x:c r="H3" s="15" t="str">
        <x:v>int / 必填 / both</x:v>
      </x:c>
      <x:c r="I3" s="15" t="str">
        <x:v>int / 必填 / both</x:v>
      </x:c>
      <x:c r="J3" s="15" t="str">
        <x:v>int / 必填 / both</x:v>
      </x:c>
      <x:c r="K3" s="15" t="str">
        <x:v>int / 必填 / both</x:v>
      </x:c>
      <x:c r="L3" s="15" t="str">
        <x:v>int / 必填 / both</x:v>
      </x:c>
      <x:c r="M3" s="15" t="str">
        <x:v>int / 必填 / both</x:v>
      </x:c>
      <x:c r="N3" s="15" t="str">
        <x:v>int / 必填 / both</x:v>
      </x:c>
      <x:c r="O3" s="15" t="str">
        <x:v>int / 必填 / both</x:v>
      </x:c>
      <x:c r="P3" s="15" t="str">
        <x:v>int / 必填 / both</x:v>
      </x:c>
      <x:c r="Q3" s="15" t="str">
        <x:v>int / 必填 / both</x:v>
      </x:c>
      <x:c r="R3" s="15" t="str">
        <x:v>json / 必填 / both</x:v>
      </x:c>
      <x:c r="S3" s="15" t="str">
        <x:v>string / 必填 / none</x:v>
      </x:c>
      <x:c r="T3" s="15" t="str">
        <x:v>string / 必填 / none</x:v>
      </x:c>
      <x:c r="U3" s="15" t="str">
        <x:v>string / 可空 / none</x:v>
      </x:c>
    </x:row>
    <x:row r="4" ht="15" hidden="0" customHeight="1">
      <x:c r="A4" s="19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7"/>
      <x:c r="S4" s="17"/>
      <x:c r="T4" s="18"/>
      <x:c r="U4" s="18"/>
    </x:row>
    <x:row r="5" ht="15" hidden="0" customHeight="1">
      <x:c r="A5" s="19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7"/>
      <x:c r="S5" s="17"/>
      <x:c r="T5" s="18"/>
      <x:c r="U5" s="18"/>
    </x:row>
    <x:row r="6" ht="15" hidden="0" customHeight="1">
      <x:c r="A6" s="19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7"/>
      <x:c r="S6" s="17"/>
      <x:c r="T6" s="18"/>
      <x:c r="U6" s="18"/>
    </x:row>
    <x:row r="7" ht="15" hidden="0" customHeight="1">
      <x:c r="A7" s="19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7"/>
      <x:c r="S7" s="17"/>
      <x:c r="T7" s="18"/>
      <x:c r="U7" s="18"/>
    </x:row>
    <x:row r="8" ht="15" hidden="0" customHeight="1">
      <x:c r="A8" s="19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7"/>
      <x:c r="S8" s="17"/>
      <x:c r="T8" s="18"/>
      <x:c r="U8" s="18"/>
    </x:row>
    <x:row r="9" ht="15" hidden="0" customHeight="1">
      <x:c r="A9" s="19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7"/>
      <x:c r="S9" s="17"/>
      <x:c r="T9" s="18"/>
      <x:c r="U9" s="18"/>
    </x:row>
  </x:sheetData>
  <x:conditionalFormatting sqref="A4:A1003">
    <x:cfRule type="expression" dxfId="361" priority="1">
      <x:formula>AND($A4&lt;&gt;"",ISBLANK(A4))</x:formula>
    </x:cfRule>
  </x:conditionalFormatting>
  <x:conditionalFormatting sqref="B4:B1003">
    <x:cfRule type="expression" dxfId="362" priority="2">
      <x:formula>AND($A4&lt;&gt;"",ISBLANK(B4))</x:formula>
    </x:cfRule>
  </x:conditionalFormatting>
  <x:conditionalFormatting sqref="C4:C1003">
    <x:cfRule type="expression" dxfId="363" priority="3">
      <x:formula>AND($A4&lt;&gt;"",ISBLANK(C4))</x:formula>
    </x:cfRule>
  </x:conditionalFormatting>
  <x:conditionalFormatting sqref="D4:D1003">
    <x:cfRule type="expression" dxfId="364" priority="4">
      <x:formula>AND($A4&lt;&gt;"",ISBLANK(D4))</x:formula>
    </x:cfRule>
  </x:conditionalFormatting>
  <x:conditionalFormatting sqref="E4:E1003">
    <x:cfRule type="expression" dxfId="365" priority="5">
      <x:formula>AND($A4&lt;&gt;"",ISBLANK(E4))</x:formula>
    </x:cfRule>
  </x:conditionalFormatting>
  <x:conditionalFormatting sqref="F4:F1003">
    <x:cfRule type="expression" dxfId="366" priority="6">
      <x:formula>AND($A4&lt;&gt;"",ISBLANK(F4))</x:formula>
    </x:cfRule>
  </x:conditionalFormatting>
  <x:conditionalFormatting sqref="G4:G1003">
    <x:cfRule type="expression" dxfId="367" priority="7">
      <x:formula>AND($A4&lt;&gt;"",ISBLANK(G4))</x:formula>
    </x:cfRule>
  </x:conditionalFormatting>
  <x:conditionalFormatting sqref="H4:H1003">
    <x:cfRule type="expression" dxfId="368" priority="8">
      <x:formula>AND($A4&lt;&gt;"",ISBLANK(H4))</x:formula>
    </x:cfRule>
  </x:conditionalFormatting>
  <x:conditionalFormatting sqref="I4:I1003">
    <x:cfRule type="expression" dxfId="369" priority="9">
      <x:formula>AND($A4&lt;&gt;"",ISBLANK(I4))</x:formula>
    </x:cfRule>
  </x:conditionalFormatting>
  <x:conditionalFormatting sqref="J4:J1003">
    <x:cfRule type="expression" dxfId="370" priority="10">
      <x:formula>AND($A4&lt;&gt;"",ISBLANK(J4))</x:formula>
    </x:cfRule>
  </x:conditionalFormatting>
  <x:conditionalFormatting sqref="K4:K1003">
    <x:cfRule type="expression" dxfId="371" priority="11">
      <x:formula>AND($A4&lt;&gt;"",ISBLANK(K4))</x:formula>
    </x:cfRule>
  </x:conditionalFormatting>
  <x:conditionalFormatting sqref="L4:L1003">
    <x:cfRule type="expression" dxfId="372" priority="12">
      <x:formula>AND($A4&lt;&gt;"",ISBLANK(L4))</x:formula>
    </x:cfRule>
  </x:conditionalFormatting>
  <x:conditionalFormatting sqref="M4:M1003">
    <x:cfRule type="expression" dxfId="373" priority="13">
      <x:formula>AND($A4&lt;&gt;"",ISBLANK(M4))</x:formula>
    </x:cfRule>
  </x:conditionalFormatting>
  <x:conditionalFormatting sqref="N4:N1003">
    <x:cfRule type="expression" dxfId="374" priority="14">
      <x:formula>AND($A4&lt;&gt;"",ISBLANK(N4))</x:formula>
    </x:cfRule>
  </x:conditionalFormatting>
  <x:conditionalFormatting sqref="O4:O1003">
    <x:cfRule type="expression" dxfId="375" priority="15">
      <x:formula>AND($A4&lt;&gt;"",ISBLANK(O4))</x:formula>
    </x:cfRule>
  </x:conditionalFormatting>
  <x:conditionalFormatting sqref="P4:P1003">
    <x:cfRule type="expression" dxfId="376" priority="16">
      <x:formula>AND($A4&lt;&gt;"",ISBLANK(P4))</x:formula>
    </x:cfRule>
  </x:conditionalFormatting>
  <x:conditionalFormatting sqref="Q4:Q1003">
    <x:cfRule type="expression" dxfId="377" priority="17">
      <x:formula>AND($A4&lt;&gt;"",ISBLANK(Q4))</x:formula>
    </x:cfRule>
  </x:conditionalFormatting>
  <x:conditionalFormatting sqref="R4:R1003">
    <x:cfRule type="expression" dxfId="378" priority="18">
      <x:formula>AND($A4&lt;&gt;"",ISBLANK(R4))</x:formula>
    </x:cfRule>
  </x:conditionalFormatting>
  <x:conditionalFormatting sqref="S4:S1003">
    <x:cfRule type="containsText" dxfId="379" priority="19" operator="containsText" text="candidate"/>
    <x:cfRule type="containsText" dxfId="380" priority="20" operator="containsText" text="unverified"/>
    <x:cfRule type="containsText" dxfId="381" priority="21" operator="containsText" text="historical"/>
  </x:conditionalFormatting>
  <x:dataValidations count="1">
    <x:dataValidation type="list" sqref="S4:S1003">
      <x:formula1>"confirmed,candidate,unverified,historical"</x:formula1>
    </x:dataValidation>
  </x:dataValidation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9" hidden="0" customWidth="1"/>
    <x:col min="11" max="11" width="18" hidden="0" customWidth="1"/>
    <x:col min="12" max="12" width="48" hidden="0" customWidth="1"/>
    <x:col min="13" max="13" width="70" hidden="0" customWidth="1"/>
  </x:cols>
  <x:sheetData>
    <x:row r="1" ht="30" customHeight="1">
      <x:c r="A1" s="7" t="str">
        <x:v>配置编号</x:v>
      </x:c>
      <x:c r="B1" s="7" t="str">
        <x:v>稳定物品键</x:v>
      </x:c>
      <x:c r="C1" s="7" t="str">
        <x:v>名称</x:v>
      </x:c>
      <x:c r="D1" s="7" t="str">
        <x:v>道具类型</x:v>
      </x:c>
      <x:c r="E1" s="7" t="str">
        <x:v>堆叠上限</x:v>
      </x:c>
      <x:c r="F1" s="7" t="str">
        <x:v>效果列表引用</x:v>
      </x:c>
      <x:c r="G1" s="7" t="str">
        <x:v>重量</x:v>
      </x:c>
      <x:c r="H1" s="7" t="str">
        <x:v>品质</x:v>
      </x:c>
      <x:c r="I1" s="7" t="str">
        <x:v>说明</x:v>
      </x:c>
      <x:c r="J1" s="7" t="str">
        <x:v>图标资源键</x:v>
      </x:c>
      <x:c r="K1" s="7" t="str">
        <x:v>参数状态</x:v>
      </x:c>
      <x:c r="L1" s="7" t="str">
        <x:v>来源章节与行号</x:v>
      </x:c>
      <x:c r="M1" s="7" t="str">
        <x:v>说明</x:v>
      </x:c>
    </x:row>
    <x:row r="2" ht="30" customHeight="1">
      <x:c r="A2" s="12" t="str">
        <x:v>id</x:v>
      </x:c>
      <x:c r="B2" s="12" t="str">
        <x:v>item_key</x:v>
      </x:c>
      <x:c r="C2" s="12" t="str">
        <x:v>display_name</x:v>
      </x:c>
      <x:c r="D2" s="12" t="str">
        <x:v>item_type</x:v>
      </x:c>
      <x:c r="E2" s="12" t="str">
        <x:v>max_stack</x:v>
      </x:c>
      <x:c r="F2" s="12" t="str">
        <x:v>effect_list_id</x:v>
      </x:c>
      <x:c r="G2" s="12" t="str">
        <x:v>weight</x:v>
      </x:c>
      <x:c r="H2" s="12" t="str">
        <x:v>quality</x:v>
      </x:c>
      <x:c r="I2" s="12" t="str">
        <x:v>description</x:v>
      </x:c>
      <x:c r="J2" s="12" t="str">
        <x:v>icon_resource_key</x:v>
      </x:c>
      <x:c r="K2" s="12" t="str">
        <x:v>record_status</x:v>
      </x:c>
      <x:c r="L2" s="12" t="str">
        <x:v>source_ref</x:v>
      </x:c>
      <x:c r="M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int / 必填 / both</x:v>
      </x:c>
      <x:c r="F3" s="15" t="str">
        <x:v>int / 可空 / both</x:v>
      </x:c>
      <x:c r="G3" s="15" t="str">
        <x:v>int / 必填 / both</x:v>
      </x:c>
      <x:c r="H3" s="15" t="str">
        <x:v>int / 可空 / both</x:v>
      </x:c>
      <x:c r="I3" s="15" t="str">
        <x:v>string / 可空 / both</x:v>
      </x:c>
      <x:c r="J3" s="15" t="str">
        <x:v>string / 必填 / both</x:v>
      </x:c>
      <x:c r="K3" s="15" t="str">
        <x:v>string / 必填 / none</x:v>
      </x:c>
      <x:c r="L3" s="15" t="str">
        <x:v>string / 必填 / none</x:v>
      </x:c>
      <x:c r="M3" s="15" t="str">
        <x:v>string / 可空 / none</x:v>
      </x:c>
    </x:row>
    <x:row r="4" ht="26.399999618530273" hidden="0" customHeight="1">
      <x:c r="A4" s="19" t="n">
        <x:v>218</x:v>
      </x:c>
      <x:c r="B4" s="17" t="str">
        <x:v>dev_source_item_218</x:v>
      </x:c>
      <x:c r="C4" s="17" t="str">
        <x:v>木剑</x:v>
      </x:c>
      <x:c r="D4" s="17" t="str">
        <x:v>equipment</x:v>
      </x:c>
      <x:c r="E4" s="16" t="n">
        <x:v>1</x:v>
      </x:c>
      <x:c r="F4" s="16"/>
      <x:c r="G4" s="16" t="n">
        <x:v>7</x:v>
      </x:c>
      <x:c r="H4" s="16" t="n">
        <x:v>0</x:v>
      </x:c>
      <x:c r="I4" s="17" t="str">
        <x:v>来源子集开发候选</x:v>
      </x:c>
      <x:c r="J4" s="17"/>
      <x:c r="K4" s="17" t="str">
        <x:v>candidate</x:v>
      </x:c>
      <x:c r="L4" s="18" t="str">
        <x:v>资料参考/myf/Mud2/DB/ApexM2_stditems.csv:220</x:v>
      </x:c>
      <x:c r="M4" s="18" t="str">
        <x:v>仅显式development配置使用的跨来源候选；未通过目标1.80行为/数值/真机验收，不进入正式发布。 原Looks/Shape仅作来源候选；未映射图标、最大堆叠和药品恢复时序仍留空。</x:v>
      </x:c>
    </x:row>
    <x:row r="5" ht="39.599998474121094" hidden="0" customHeight="1">
      <x:c r="A5" s="19" t="n">
        <x:v>193</x:v>
      </x:c>
      <x:c r="B5" s="17" t="str">
        <x:v>dev_source_item_193</x:v>
      </x:c>
      <x:c r="C5" s="17" t="str">
        <x:v>布衣</x:v>
      </x:c>
      <x:c r="D5" s="17" t="str">
        <x:v>equipment</x:v>
      </x:c>
      <x:c r="E5" s="16" t="n">
        <x:v>1</x:v>
      </x:c>
      <x:c r="F5" s="16"/>
      <x:c r="G5" s="16" t="n">
        <x:v>5</x:v>
      </x:c>
      <x:c r="H5" s="16" t="n">
        <x:v>0</x:v>
      </x:c>
      <x:c r="I5" s="17" t="str">
        <x:v>来源子集开发候选</x:v>
      </x:c>
      <x:c r="J5" s="17"/>
      <x:c r="K5" s="17" t="str">
        <x:v>candidate</x:v>
      </x:c>
      <x:c r="L5" s="18" t="str">
        <x:v>最终策划案.md:113-115、485-497（4.2、4.20）；资料参考/myf/Mud2/DB/ApexM2_stditems.csv:195</x:v>
      </x:c>
      <x:c r="M5" s="18" t="str">
        <x:v>来源原名布衣(男)。本作无性别穿戴门槛，不新增男女装备分类，同itemID按职业固定外观；允许职业[0,1,2]是目标规则适配。女法师衣服外观映射仍待正式资源验收。仅development候选，未通过目标1.80行为或数值验收。</x:v>
      </x:c>
    </x:row>
    <x:row r="6" ht="26.399999618530273" hidden="0" customHeight="1">
      <x:c r="A6" s="19" t="n">
        <x:v>35</x:v>
      </x:c>
      <x:c r="B6" s="17" t="str">
        <x:v>dev_source_item_35</x:v>
      </x:c>
      <x:c r="C6" s="17" t="str">
        <x:v>金创药(小量)</x:v>
      </x:c>
      <x:c r="D6" s="17" t="str">
        <x:v>potion</x:v>
      </x:c>
      <x:c r="E6" s="16"/>
      <x:c r="F6" s="16"/>
      <x:c r="G6" s="16" t="n">
        <x:v>0</x:v>
      </x:c>
      <x:c r="H6" s="16"/>
      <x:c r="I6" s="17" t="str">
        <x:v>来源子集开发候选</x:v>
      </x:c>
      <x:c r="J6" s="17"/>
      <x:c r="K6" s="17" t="str">
        <x:v>candidate</x:v>
      </x:c>
      <x:c r="L6" s="18" t="str">
        <x:v>资料参考/myf/Mud2/DB/ApexM2_stditems.csv:37</x:v>
      </x:c>
      <x:c r="M6" s="18" t="str">
        <x:v>正式堆叠与药效映射仍待核验；本轮仅development启用逐件消费候选，恢复量和时序由开发首循环夹具统一维护。原Looks/Shape不作为已核验图标或药效证据。</x:v>
      </x:c>
    </x:row>
    <x:row r="7" ht="26.399999618530273" hidden="0" customHeight="1">
      <x:c r="A7" s="19" t="n">
        <x:v>36</x:v>
      </x:c>
      <x:c r="B7" s="17" t="str">
        <x:v>dev_source_item_36</x:v>
      </x:c>
      <x:c r="C7" s="17" t="str">
        <x:v>魔法药(小量)</x:v>
      </x:c>
      <x:c r="D7" s="17" t="str">
        <x:v>potion</x:v>
      </x:c>
      <x:c r="E7" s="16"/>
      <x:c r="F7" s="16"/>
      <x:c r="G7" s="16" t="n">
        <x:v>0</x:v>
      </x:c>
      <x:c r="H7" s="16"/>
      <x:c r="I7" s="17" t="str">
        <x:v>来源子集开发候选</x:v>
      </x:c>
      <x:c r="J7" s="17"/>
      <x:c r="K7" s="17" t="str">
        <x:v>candidate</x:v>
      </x:c>
      <x:c r="L7" s="18" t="str">
        <x:v>资料参考/myf/Mud2/DB/ApexM2_stditems.csv:38</x:v>
      </x:c>
      <x:c r="M7" s="18" t="str">
        <x:v>正式堆叠与药效映射仍待核验；本轮仅development启用逐件消费候选，恢复量和时序由开发首循环夹具统一维护。原Looks/Shape不作为已核验图标或药效证据。</x:v>
      </x:c>
    </x:row>
    <x:row r="8" ht="70" hidden="0" customHeight="1">
      <x:c r="A8" s="19" t="n">
        <x:v>7</x:v>
      </x:c>
      <x:c r="B8" s="17" t="str">
        <x:v>skill_book_1</x:v>
      </x:c>
      <x:c r="C8" s="17" t="str">
        <x:v>《火球术》</x:v>
      </x:c>
      <x:c r="D8" s="17" t="str">
        <x:v>skill_book</x:v>
      </x:c>
      <x:c r="E8" s="16" t="n">
        <x:v>1</x:v>
      </x:c>
      <x:c r="F8" s="16"/>
      <x:c r="G8" s="16" t="n">
        <x:v>1</x:v>
      </x:c>
      <x:c r="H8" s="16" t="n">
        <x:v>0</x:v>
      </x:c>
      <x:c r="I8" s="17" t="str">
        <x:v>学习与升级对应技能；来源按实例保存，商店/赠书不可拆页</x:v>
      </x:c>
      <x:c r="J8" s="17"/>
      <x:c r="K8" s="17" t="str">
        <x:v>candidate</x:v>
      </x:c>
      <x:c r="L8" s="18" t="str">
        <x:v>资料参考/myf/Mud2/DB/ApexM2_stditems.csv；显式书→技能映射见docs/技能获取与升级实施边界.md</x:v>
      </x:c>
      <x:c r="M8" s="18" t="str">
        <x:v>原始书身份候选；原像素图标尚待映射。NPC品质0、开发掉落品质另配为1，来源不由绑定推断。</x:v>
      </x:c>
    </x:row>
    <x:row r="9" ht="70" hidden="0" customHeight="1">
      <x:c r="A9" s="19" t="n">
        <x:v>21</x:v>
      </x:c>
      <x:c r="B9" s="17" t="str">
        <x:v>skill_book_2</x:v>
      </x:c>
      <x:c r="C9" s="17" t="str">
        <x:v>《治愈术》</x:v>
      </x:c>
      <x:c r="D9" s="17" t="str">
        <x:v>skill_book</x:v>
      </x:c>
      <x:c r="E9" s="16" t="n">
        <x:v>1</x:v>
      </x:c>
      <x:c r="F9" s="16"/>
      <x:c r="G9" s="16" t="n">
        <x:v>1</x:v>
      </x:c>
      <x:c r="H9" s="16" t="n">
        <x:v>0</x:v>
      </x:c>
      <x:c r="I9" s="17" t="str">
        <x:v>学习与升级对应技能；来源按实例保存，商店/赠书不可拆页</x:v>
      </x:c>
      <x:c r="J9" s="17"/>
      <x:c r="K9" s="17" t="str">
        <x:v>candidate</x:v>
      </x:c>
      <x:c r="L9" s="18" t="str">
        <x:v>资料参考/myf/Mud2/DB/ApexM2_stditems.csv；显式书→技能映射见docs/技能获取与升级实施边界.md</x:v>
      </x:c>
      <x:c r="M9" s="18" t="str">
        <x:v>原始书身份候选；原像素图标尚待映射。NPC品质0、开发掉落品质另配为1，来源不由绑定推断。</x:v>
      </x:c>
    </x:row>
    <x:row r="10" ht="70" customHeight="1">
      <x:c r="A10" s="19" t="n">
        <x:v>1</x:v>
      </x:c>
      <x:c r="B10" s="17" t="str">
        <x:v>skill_book_3</x:v>
      </x:c>
      <x:c r="C10" s="17" t="str">
        <x:v>《基本剑术》</x:v>
      </x:c>
      <x:c r="D10" s="17" t="str">
        <x:v>skill_book</x:v>
      </x:c>
      <x:c r="E10" s="16" t="n">
        <x:v>1</x:v>
      </x:c>
      <x:c r="F10" s="16"/>
      <x:c r="G10" s="16" t="n">
        <x:v>1</x:v>
      </x:c>
      <x:c r="H10" s="16" t="n">
        <x:v>0</x:v>
      </x:c>
      <x:c r="I10" s="17" t="str">
        <x:v>学习与升级对应技能；来源按实例保存，商店/赠书不可拆页</x:v>
      </x:c>
      <x:c r="J10" s="17"/>
      <x:c r="K10" s="17" t="str">
        <x:v>candidate</x:v>
      </x:c>
      <x:c r="L10" s="18" t="str">
        <x:v>资料参考/myf/Mud2/DB/ApexM2_stditems.csv；显式书→技能映射见docs/技能获取与升级实施边界.md</x:v>
      </x:c>
      <x:c r="M10" s="18" t="str">
        <x:v>原始书身份候选；原像素图标尚待映射。NPC品质0、开发掉落品质另配为1，来源不由绑定推断。</x:v>
      </x:c>
    </x:row>
    <x:row r="11" ht="70" customHeight="1">
      <x:c r="A11" s="19" t="n">
        <x:v>900001</x:v>
      </x:c>
      <x:c r="B11" s="17" t="str">
        <x:v>skill_page</x:v>
      </x:c>
      <x:c r="C11" s="17" t="str">
        <x:v>书页</x:v>
      </x:c>
      <x:c r="D11" s="17" t="str">
        <x:v>skill_page</x:v>
      </x:c>
      <x:c r="E11" s="16" t="n">
        <x:v>65535</x:v>
      </x:c>
      <x:c r="F11" s="16"/>
      <x:c r="G11" s="16" t="n">
        <x:v>0</x:v>
      </x:c>
      <x:c r="H11" s="16" t="n">
        <x:v>0</x:v>
      </x:c>
      <x:c r="I11" s="17" t="str">
        <x:v>技能升级材料，分解产物继承原书绑定；商城书页绑定</x:v>
      </x:c>
      <x:c r="J11" s="17"/>
      <x:c r="K11" s="17" t="str">
        <x:v>candidate</x:v>
      </x:c>
      <x:c r="L11" s="18" t="str">
        <x:v>最终策划4.8、5.8；项目自定义物品ID900001，非来源客户端物品编号</x:v>
      </x:c>
      <x:c r="M11" s="18" t="str">
        <x:v>65535为本项目开发计数堆叠上限候选；不合并不同来源/绑定，图标尚待制作。</x:v>
      </x:c>
    </x:row>
    <x:row r="12" ht="70" customHeight="1">
      <x:c r="A12" s="19" t="n">
        <x:v>22</x:v>
      </x:c>
      <x:c r="B12" s="17" t="str">
        <x:v>skill_book_4</x:v>
      </x:c>
      <x:c r="C12" s="17" t="str">
        <x:v>《精神力战法》</x:v>
      </x:c>
      <x:c r="D12" s="17" t="str">
        <x:v>skill_book</x:v>
      </x:c>
      <x:c r="E12" s="16" t="n">
        <x:v>1</x:v>
      </x:c>
      <x:c r="F12" s="16"/>
      <x:c r="G12" s="16" t="n">
        <x:v>1</x:v>
      </x:c>
      <x:c r="H12" s="16" t="n">
        <x:v>0</x:v>
      </x:c>
      <x:c r="I12" s="17" t="str">
        <x:v>学习与升级对应技能；来源按实例保存，商店/赠书不可拆页</x:v>
      </x:c>
      <x:c r="J12" s="17"/>
      <x:c r="K12" s="17" t="str">
        <x:v>candidate</x:v>
      </x:c>
      <x:c r="L12" s="18" t="str">
        <x:v>资料参考/myf/Mud2/DB/ApexM2_stditems.csv:24；docs/范围技能与战斗时序实施边界.md；资料参考/crystal/Server/MirEnvir/Envir.cs；HumanObject.cs与MirEnvir/Map.cs源码候选</x:v>
      </x:c>
      <x:c r="M12" s="18" t="str">
        <x:v>原始书身份候选；原像素图标尚待映射。NPC品质0、开发掉落品质另配为1，来源不由绑定推断。</x:v>
      </x:c>
    </x:row>
    <x:row r="13" ht="70" customHeight="1">
      <x:c r="A13" s="19" t="n">
        <x:v>12</x:v>
      </x:c>
      <x:c r="B13" s="17" t="str">
        <x:v>skill_book_5</x:v>
      </x:c>
      <x:c r="C13" s="17" t="str">
        <x:v>《大火球》</x:v>
      </x:c>
      <x:c r="D13" s="17" t="str">
        <x:v>skill_book</x:v>
      </x:c>
      <x:c r="E13" s="16" t="n">
        <x:v>1</x:v>
      </x:c>
      <x:c r="F13" s="16"/>
      <x:c r="G13" s="16" t="n">
        <x:v>1</x:v>
      </x:c>
      <x:c r="H13" s="16" t="n">
        <x:v>0</x:v>
      </x:c>
      <x:c r="I13" s="17" t="str">
        <x:v>学习与升级对应技能；来源按实例保存，商店/赠书不可拆页</x:v>
      </x:c>
      <x:c r="J13" s="17"/>
      <x:c r="K13" s="17" t="str">
        <x:v>candidate</x:v>
      </x:c>
      <x:c r="L13" s="18" t="str">
        <x:v>资料参考/myf/Mud2/DB/ApexM2_stditems.csv:14；docs/范围技能与战斗时序实施边界.md；资料参考/crystal/Server/MirEnvir/Envir.cs；HumanObject.cs与MirEnvir/Map.cs源码候选</x:v>
      </x:c>
      <x:c r="M13" s="18" t="str">
        <x:v>原始书身份候选；原像素图标尚待映射。NPC品质0、开发掉落品质另配为1，来源不由绑定推断。</x:v>
      </x:c>
    </x:row>
    <x:row r="14" ht="70" customHeight="1">
      <x:c r="A14" s="19" t="n">
        <x:v>11</x:v>
      </x:c>
      <x:c r="B14" s="17" t="str">
        <x:v>skill_book_11</x:v>
      </x:c>
      <x:c r="C14" s="17" t="str">
        <x:v>《雷电术》</x:v>
      </x:c>
      <x:c r="D14" s="17" t="str">
        <x:v>skill_book</x:v>
      </x:c>
      <x:c r="E14" s="16" t="n">
        <x:v>1</x:v>
      </x:c>
      <x:c r="F14" s="16"/>
      <x:c r="G14" s="16" t="n">
        <x:v>1</x:v>
      </x:c>
      <x:c r="H14" s="16" t="n">
        <x:v>0</x:v>
      </x:c>
      <x:c r="I14" s="17" t="str">
        <x:v>学习与升级对应技能；来源按实例保存，商店/赠书不可拆页</x:v>
      </x:c>
      <x:c r="J14" s="17"/>
      <x:c r="K14" s="17" t="str">
        <x:v>candidate</x:v>
      </x:c>
      <x:c r="L14" s="18" t="str">
        <x:v>资料参考/myf/Mud2/DB/ApexM2_stditems.csv:13；docs/范围技能与战斗时序实施边界.md；资料参考/crystal/Server/MirEnvir/Envir.cs；HumanObject.cs与MirEnvir/Map.cs源码候选</x:v>
      </x:c>
      <x:c r="M14" s="18" t="str">
        <x:v>原始书身份候选；原像素图标尚待映射。NPC品质0、开发掉落品质另配为1，来源不由绑定推断。</x:v>
      </x:c>
    </x:row>
    <x:row r="15" ht="70" customHeight="1">
      <x:c r="A15" s="19" t="n">
        <x:v>14</x:v>
      </x:c>
      <x:c r="B15" s="17" t="str">
        <x:v>skill_book_23</x:v>
      </x:c>
      <x:c r="C15" s="17" t="str">
        <x:v>《爆裂火焰》</x:v>
      </x:c>
      <x:c r="D15" s="17" t="str">
        <x:v>skill_book</x:v>
      </x:c>
      <x:c r="E15" s="16" t="n">
        <x:v>1</x:v>
      </x:c>
      <x:c r="F15" s="16"/>
      <x:c r="G15" s="16" t="n">
        <x:v>1</x:v>
      </x:c>
      <x:c r="H15" s="16" t="n">
        <x:v>0</x:v>
      </x:c>
      <x:c r="I15" s="17" t="str">
        <x:v>学习与升级对应技能；来源按实例保存，商店/赠书不可拆页</x:v>
      </x:c>
      <x:c r="J15" s="17"/>
      <x:c r="K15" s="17" t="str">
        <x:v>candidate</x:v>
      </x:c>
      <x:c r="L15" s="18" t="str">
        <x:v>资料参考/myf/Mud2/DB/ApexM2_stditems.csv:16；docs/范围技能与战斗时序实施边界.md；资料参考/crystal/Server/MirEnvir/Envir.cs；HumanObject.cs与MirEnvir/Map.cs源码候选</x:v>
      </x:c>
      <x:c r="M15" s="18" t="str">
        <x:v>原始书身份候选；原像素图标尚待映射。NPC品质0、开发掉落品质另配为1，来源不由绑定推断。</x:v>
      </x:c>
    </x:row>
    <x:row r="16" ht="70" customHeight="1">
      <x:c r="A16" s="19" t="n">
        <x:v>32</x:v>
      </x:c>
      <x:c r="B16" s="17" t="str">
        <x:v>skill_book_29</x:v>
      </x:c>
      <x:c r="C16" s="17" t="str">
        <x:v>《群体治疗术》</x:v>
      </x:c>
      <x:c r="D16" s="17" t="str">
        <x:v>skill_book</x:v>
      </x:c>
      <x:c r="E16" s="16" t="n">
        <x:v>1</x:v>
      </x:c>
      <x:c r="F16" s="16"/>
      <x:c r="G16" s="16" t="n">
        <x:v>1</x:v>
      </x:c>
      <x:c r="H16" s="16" t="n">
        <x:v>0</x:v>
      </x:c>
      <x:c r="I16" s="17" t="str">
        <x:v>学习与升级对应技能；来源按实例保存，商店/赠书不可拆页</x:v>
      </x:c>
      <x:c r="J16" s="17"/>
      <x:c r="K16" s="17" t="str">
        <x:v>candidate</x:v>
      </x:c>
      <x:c r="L16" s="18" t="str">
        <x:v>资料参考/myf/Mud2/DB/ApexM2_stditems.csv:34；docs/范围技能与战斗时序实施边界.md；资料参考/crystal/Server/MirEnvir/Envir.cs；HumanObject.cs与MirEnvir/Map.cs源码候选</x:v>
      </x:c>
      <x:c r="M16" s="18" t="str">
        <x:v>原始书身份候选；原像素图标尚待映射。NPC品质0、开发掉落品质另配为1，来源不由绑定推断。</x:v>
      </x:c>
    </x:row>
    <x:row r="17" ht="70" customHeight="1">
      <x:c r="A17" s="19" t="n">
        <x:v>2</x:v>
      </x:c>
      <x:c r="B17" s="17" t="str">
        <x:v>skill_book_7</x:v>
      </x:c>
      <x:c r="C17" s="17" t="str">
        <x:v>《攻杀剑术》</x:v>
      </x:c>
      <x:c r="D17" s="17" t="str">
        <x:v>skill_book</x:v>
      </x:c>
      <x:c r="E17" s="16" t="n">
        <x:v>1</x:v>
      </x:c>
      <x:c r="F17" s="16"/>
      <x:c r="G17" s="16" t="n">
        <x:v>1</x:v>
      </x:c>
      <x:c r="H17" s="16" t="n">
        <x:v>0</x:v>
      </x:c>
      <x:c r="I17" s="17" t="str">
        <x:v>学习与升级对应技能；来源按实例保存，商店/赠书不可拆页</x:v>
      </x:c>
      <x:c r="J17" s="17"/>
      <x:c r="K17" s="17" t="str">
        <x:v>candidate</x:v>
      </x:c>
      <x:c r="L17" s="18" t="str">
        <x:v>资料参考/myf/Mud2/DB/ApexM2_stditems.csv:4；docs/战士攻击模式与方向技能实施边界.md；资料参考/crystal/Server/MirObjects/HumanObject.cs；MirEnvir/Map.cs与Envir.cs；Client/MirObjects/PlayerObject.cs源码候选</x:v>
      </x:c>
      <x:c r="M17" s="18" t="str">
        <x:v>原始书身份候选；原像素图标尚待映射。NPC品质0、开发掉落品质另配为1，来源不由绑定推断。</x:v>
      </x:c>
    </x:row>
    <x:row r="18" ht="70" customHeight="1">
      <x:c r="A18" s="19" t="n">
        <x:v>3</x:v>
      </x:c>
      <x:c r="B18" s="17" t="str">
        <x:v>skill_book_12</x:v>
      </x:c>
      <x:c r="C18" s="17" t="str">
        <x:v>《刺杀剑术》</x:v>
      </x:c>
      <x:c r="D18" s="17" t="str">
        <x:v>skill_book</x:v>
      </x:c>
      <x:c r="E18" s="16" t="n">
        <x:v>1</x:v>
      </x:c>
      <x:c r="F18" s="16"/>
      <x:c r="G18" s="16" t="n">
        <x:v>1</x:v>
      </x:c>
      <x:c r="H18" s="16" t="n">
        <x:v>0</x:v>
      </x:c>
      <x:c r="I18" s="17" t="str">
        <x:v>学习与升级对应技能；来源按实例保存，商店/赠书不可拆页</x:v>
      </x:c>
      <x:c r="J18" s="17"/>
      <x:c r="K18" s="17" t="str">
        <x:v>candidate</x:v>
      </x:c>
      <x:c r="L18" s="18" t="str">
        <x:v>资料参考/myf/Mud2/DB/ApexM2_stditems.csv:5；docs/战士攻击模式与方向技能实施边界.md；资料参考/crystal/Server/MirObjects/HumanObject.cs；MirEnvir/Map.cs与Envir.cs；Client/MirObjects/PlayerObject.cs源码候选</x:v>
      </x:c>
      <x:c r="M18" s="18" t="str">
        <x:v>原始书身份候选；原像素图标尚待映射。NPC品质0、开发掉落品质另配为1，来源不由绑定推断。</x:v>
      </x:c>
    </x:row>
    <x:row r="19" ht="70" customHeight="1">
      <x:c r="A19" s="19" t="n">
        <x:v>4</x:v>
      </x:c>
      <x:c r="B19" s="17" t="str">
        <x:v>skill_book_25</x:v>
      </x:c>
      <x:c r="C19" s="17" t="str">
        <x:v>《半月弯刀》</x:v>
      </x:c>
      <x:c r="D19" s="17" t="str">
        <x:v>skill_book</x:v>
      </x:c>
      <x:c r="E19" s="16" t="n">
        <x:v>1</x:v>
      </x:c>
      <x:c r="F19" s="16"/>
      <x:c r="G19" s="16" t="n">
        <x:v>1</x:v>
      </x:c>
      <x:c r="H19" s="16" t="n">
        <x:v>0</x:v>
      </x:c>
      <x:c r="I19" s="17" t="str">
        <x:v>学习与升级对应技能；来源按实例保存，商店/赠书不可拆页</x:v>
      </x:c>
      <x:c r="J19" s="17"/>
      <x:c r="K19" s="17" t="str">
        <x:v>candidate</x:v>
      </x:c>
      <x:c r="L19" s="18" t="str">
        <x:v>资料参考/myf/Mud2/DB/ApexM2_stditems.csv:6；docs/战士攻击模式与方向技能实施边界.md；资料参考/crystal/Server/MirObjects/HumanObject.cs；MirEnvir/Map.cs与Envir.cs；Client/MirObjects/PlayerObject.cs源码候选</x:v>
      </x:c>
      <x:c r="M19" s="18" t="str">
        <x:v>原始书身份候选；原像素图标尚待映射。NPC品质0、开发掉落品质另配为1，来源不由绑定推断。</x:v>
      </x:c>
    </x:row>
    <x:row r="20" ht="70" customHeight="1">
      <x:c r="A20" s="19" t="n">
        <x:v>6</x:v>
      </x:c>
      <x:c r="B20" s="17" t="str">
        <x:v>skill_book_26</x:v>
      </x:c>
      <x:c r="C20" s="17" t="str">
        <x:v>《烈火剑法》</x:v>
      </x:c>
      <x:c r="D20" s="17" t="str">
        <x:v>skill_book</x:v>
      </x:c>
      <x:c r="E20" s="16" t="n">
        <x:v>1</x:v>
      </x:c>
      <x:c r="F20" s="16"/>
      <x:c r="G20" s="16" t="n">
        <x:v>1</x:v>
      </x:c>
      <x:c r="H20" s="16" t="n">
        <x:v>0</x:v>
      </x:c>
      <x:c r="I20" s="17" t="str">
        <x:v>学习与升级对应技能；来源按实例保存，商店/赠书不可拆页</x:v>
      </x:c>
      <x:c r="J20" s="17"/>
      <x:c r="K20" s="17" t="str">
        <x:v>candidate</x:v>
      </x:c>
      <x:c r="L20" s="18" t="str">
        <x:v>资料参考/myf/Mud2/DB/ApexM2_stditems.csv:8；docs/战士攻击模式与方向技能实施边界.md；资料参考/crystal/Server/MirObjects/HumanObject.cs；MirEnvir/Map.cs与Envir.cs；Client/MirObjects/PlayerObject.cs源码候选</x:v>
      </x:c>
      <x:c r="M20" s="18" t="str">
        <x:v>原始书身份候选；原像素图标尚待映射。NPC品质0、开发掉落品质另配为1，来源不由绑定推断。</x:v>
      </x:c>
    </x:row>
    <x:row r="21" ht="70" customHeight="1">
      <x:c r="A21" s="19" t="n">
        <x:v>16</x:v>
      </x:c>
      <x:c r="B21" s="17" t="str">
        <x:v>skill_book_10</x:v>
      </x:c>
      <x:c r="C21" s="17" t="str">
        <x:v>《疾光电影》</x:v>
      </x:c>
      <x:c r="D21" s="17" t="str">
        <x:v>skill_book</x:v>
      </x:c>
      <x:c r="E21" s="16" t="n">
        <x:v>1</x:v>
      </x:c>
      <x:c r="F21" s="16"/>
      <x:c r="G21" s="16" t="n">
        <x:v>1</x:v>
      </x:c>
      <x:c r="H21" s="16" t="n">
        <x:v>0</x:v>
      </x:c>
      <x:c r="I21" s="17" t="str">
        <x:v>学习与升级对应技能；来源按实例保存，商店/赠书不可拆页</x:v>
      </x:c>
      <x:c r="J21" s="17"/>
      <x:c r="K21" s="17" t="str">
        <x:v>candidate</x:v>
      </x:c>
      <x:c r="L21" s="18" t="str">
        <x:v>资料参考/myf/Mud2/DB/ApexM2_stditems.csv:18；docs/战士攻击模式与方向技能实施边界.md；资料参考/crystal/Server/MirObjects/HumanObject.cs；MirEnvir/Map.cs与Envir.cs；Client/MirObjects/PlayerObject.cs源码候选</x:v>
      </x:c>
      <x:c r="M21" s="18" t="str">
        <x:v>原始书身份候选；原像素图标尚待映射。NPC品质0、开发掉落品质另配为1，来源不由绑定推断。</x:v>
      </x:c>
    </x:row>
    <x:row r="22" ht="70" customHeight="1">
      <x:c r="A22" s="19" t="n">
        <x:v>20</x:v>
      </x:c>
      <x:c r="B22" s="17" t="str">
        <x:v>skill_book_33</x:v>
      </x:c>
      <x:c r="C22" s="17" t="str">
        <x:v>《冰咆哮》</x:v>
      </x:c>
      <x:c r="D22" s="17" t="str">
        <x:v>skill_book</x:v>
      </x:c>
      <x:c r="E22" s="16" t="n">
        <x:v>1</x:v>
      </x:c>
      <x:c r="F22" s="16"/>
      <x:c r="G22" s="16" t="n">
        <x:v>1</x:v>
      </x:c>
      <x:c r="H22" s="16" t="n">
        <x:v>0</x:v>
      </x:c>
      <x:c r="I22" s="17" t="str">
        <x:v>学习与升级对应技能；来源按实例保存，商店/赠书不可拆页</x:v>
      </x:c>
      <x:c r="J22" s="17"/>
      <x:c r="K22" s="17" t="str">
        <x:v>candidate</x:v>
      </x:c>
      <x:c r="L22" s="18" t="str">
        <x:v>资料参考/myf/Mud2/DB/ApexM2_stditems.csv:22；docs/战士攻击模式与方向技能实施边界.md；资料参考/crystal/Server/MirObjects/HumanObject.cs；MirEnvir/Map.cs与Envir.cs；Client/MirObjects/PlayerObject.cs源码候选</x:v>
      </x:c>
      <x:c r="M22" s="18" t="str">
        <x:v>原始书身份候选；原像素图标尚待映射。NPC品质0、开发掉落品质另配为1，来源不由绑定推断。</x:v>
      </x:c>
    </x:row>
    <x:row r="23" ht="70" customHeight="1">
      <x:c r="A23" s="19" t="n">
        <x:v>17</x:v>
      </x:c>
      <x:c r="B23" s="17" t="str">
        <x:v>skill_book_24</x:v>
      </x:c>
      <x:c r="C23" s="17" t="str">
        <x:v>《地狱雷光》</x:v>
      </x:c>
      <x:c r="D23" s="17" t="str">
        <x:v>skill_book</x:v>
      </x:c>
      <x:c r="E23" s="16" t="n">
        <x:v>1</x:v>
      </x:c>
      <x:c r="F23" s="16"/>
      <x:c r="G23" s="16" t="n">
        <x:v>1</x:v>
      </x:c>
      <x:c r="H23" s="16" t="n">
        <x:v>0</x:v>
      </x:c>
      <x:c r="I23" s="17" t="str">
        <x:v>学习与升级对应技能；来源按实例保存，商店/赠书不可拆页</x:v>
      </x:c>
      <x:c r="J23" s="17"/>
      <x:c r="K23" s="17" t="str">
        <x:v>candidate</x:v>
      </x:c>
      <x:c r="L23" s="18" t="str">
        <x:v>资料参考/myf/Mud2/DB/ApexM2_stditems.csv:19；docs/战士攻击模式与方向技能实施边界.md；资料参考/crystal/Server/MirObjects/HumanObject.cs；MirEnvir/Map.cs与Envir.cs；Client/MirObjects/PlayerObject.cs源码候选</x:v>
      </x:c>
      <x:c r="M23" s="18" t="str">
        <x:v>原始书身份候选；原像素图标尚待映射。NPC品质0、开发掉落品质另配为1，来源不由绑定推断。</x:v>
      </x:c>
    </x:row>
    <x:row r="24" ht="70" customHeight="1">
      <x:c r="A24" s="19" t="n">
        <x:v>10</x:v>
      </x:c>
      <x:c r="B24" s="17" t="str">
        <x:v>skill_book_9</x:v>
      </x:c>
      <x:c r="C24" s="17" t="str">
        <x:v>《地狱火》</x:v>
      </x:c>
      <x:c r="D24" s="17" t="str">
        <x:v>skill_book</x:v>
      </x:c>
      <x:c r="E24" s="16" t="n">
        <x:v>1</x:v>
      </x:c>
      <x:c r="F24" s="16"/>
      <x:c r="G24" s="16" t="n">
        <x:v>1</x:v>
      </x:c>
      <x:c r="H24" s="16" t="n">
        <x:v>0</x:v>
      </x:c>
      <x:c r="I24" s="17" t="str">
        <x:v>学习与升级对应技能；来源按实例保存，商店/赠书不可拆页</x:v>
      </x:c>
      <x:c r="J24" s="17"/>
      <x:c r="K24" s="17" t="str">
        <x:v>candidate</x:v>
      </x:c>
      <x:c r="L24" s="18" t="str">
        <x:v>资料参考/myf/Mud2/DB/ApexM2_stditems.csv:12；用户2026-10-27审定地狱火所有阶固定正前4格；docs/战士攻击模式与方向技能实施边界.md；Crystal HumanObject.cs:4103–4118/Map.cs:875–910默认候选</x:v>
      </x:c>
      <x:c r="M24" s="18" t="str">
        <x:v>原始书身份候选；原像素图标尚待映射。NPC品质0、开发掉落品质另配为1，来源不由绑定推断。</x:v>
      </x:c>
    </x:row>
    <x:row r="25" ht="56" customHeight="1">
      <x:c r="A25" s="19" t="n">
        <x:v>28</x:v>
      </x:c>
      <x:c r="B25" s="17" t="str">
        <x:v>skill_book_14</x:v>
      </x:c>
      <x:c r="C25" s="17" t="str">
        <x:v>《幽灵盾》</x:v>
      </x:c>
      <x:c r="D25" s="17" t="str">
        <x:v>skill_book</x:v>
      </x:c>
      <x:c r="E25" s="16" t="n">
        <x:v>1</x:v>
      </x:c>
      <x:c r="F25" s="16"/>
      <x:c r="G25" s="16" t="n">
        <x:v>1</x:v>
      </x:c>
      <x:c r="H25" s="16" t="n">
        <x:v>0</x:v>
      </x:c>
      <x:c r="I25" s="17" t="str">
        <x:v>学习与升级对应技能；来源按实例保存，商店/赠书不可拆页</x:v>
      </x:c>
      <x:c r="J25" s="17"/>
      <x:c r="K25" s="17" t="str">
        <x:v>candidate</x:v>
      </x:c>
      <x:c r="L25" s="18" t="str">
        <x:v>资料参考/myf/Mud2/DB/ApexM2_stditems.csv:30；docs/战斗状态与防御技能实施边界.md；资料参考/crystal/Server/MirObjects/HumanObject.cs与MirEnvir/Map.cs；开发候选，非目标1.80认证</x:v>
      </x:c>
      <x:c r="M25" s="18" t="str">
        <x:v>原始书身份候选；原像素图标尚待映射。NPC品质0、开发掉落品质另配为1，来源不由绑定推断。</x:v>
      </x:c>
    </x:row>
    <x:row r="26" ht="56" customHeight="1">
      <x:c r="A26" s="19" t="n">
        <x:v>29</x:v>
      </x:c>
      <x:c r="B26" s="17" t="str">
        <x:v>skill_book_15</x:v>
      </x:c>
      <x:c r="C26" s="17" t="str">
        <x:v>《神圣战甲术》</x:v>
      </x:c>
      <x:c r="D26" s="17" t="str">
        <x:v>skill_book</x:v>
      </x:c>
      <x:c r="E26" s="16" t="n">
        <x:v>1</x:v>
      </x:c>
      <x:c r="F26" s="16"/>
      <x:c r="G26" s="16" t="n">
        <x:v>1</x:v>
      </x:c>
      <x:c r="H26" s="16" t="n">
        <x:v>0</x:v>
      </x:c>
      <x:c r="I26" s="17" t="str">
        <x:v>学习与升级对应技能；来源按实例保存，商店/赠书不可拆页</x:v>
      </x:c>
      <x:c r="J26" s="17"/>
      <x:c r="K26" s="17" t="str">
        <x:v>candidate</x:v>
      </x:c>
      <x:c r="L26" s="18" t="str">
        <x:v>资料参考/myf/Mud2/DB/ApexM2_stditems.csv:31；docs/战斗状态与防御技能实施边界.md；资料参考/crystal/Server/MirObjects/HumanObject.cs与MirEnvir/Map.cs；开发候选，非目标1.80认证</x:v>
      </x:c>
      <x:c r="M26" s="18" t="str">
        <x:v>原始书身份候选；原像素图标尚待映射。NPC品质0、开发掉落品质另配为1，来源不由绑定推断。</x:v>
      </x:c>
    </x:row>
    <x:row r="27" ht="56" customHeight="1">
      <x:c r="A27" s="19" t="n">
        <x:v>18</x:v>
      </x:c>
      <x:c r="B27" s="17" t="str">
        <x:v>skill_book_31</x:v>
      </x:c>
      <x:c r="C27" s="17" t="str">
        <x:v>《魔法盾》</x:v>
      </x:c>
      <x:c r="D27" s="17" t="str">
        <x:v>skill_book</x:v>
      </x:c>
      <x:c r="E27" s="16" t="n">
        <x:v>1</x:v>
      </x:c>
      <x:c r="F27" s="16"/>
      <x:c r="G27" s="16" t="n">
        <x:v>1</x:v>
      </x:c>
      <x:c r="H27" s="16" t="n">
        <x:v>0</x:v>
      </x:c>
      <x:c r="I27" s="17" t="str">
        <x:v>学习与升级对应技能；来源按实例保存，商店/赠书不可拆页</x:v>
      </x:c>
      <x:c r="J27" s="17"/>
      <x:c r="K27" s="17" t="str">
        <x:v>candidate</x:v>
      </x:c>
      <x:c r="L27" s="18" t="str">
        <x:v>资料参考/myf/Mud2/DB/ApexM2_stditems.csv:20；docs/战斗状态与防御技能实施边界.md；资料参考/crystal/Server/MirObjects/HumanObject.cs与MirEnvir/Map.cs；开发候选，非目标1.80认证</x:v>
      </x:c>
      <x:c r="M27" s="18" t="str">
        <x:v>原始书身份候选；原像素图标尚待映射。NPC品质0、开发掉落品质另配为1，来源不由绑定推断。</x:v>
      </x:c>
    </x:row>
    <x:row r="28" ht="56" customHeight="1">
      <x:c r="A28" s="19" t="n">
        <x:v>187</x:v>
      </x:c>
      <x:c r="B28" s="17" t="str">
        <x:v>casting_supply_amulet</x:v>
      </x:c>
      <x:c r="C28" s="17" t="str">
        <x:v>护身符</x:v>
      </x:c>
      <x:c r="D28" s="17" t="str">
        <x:v>casting_supply</x:v>
      </x:c>
      <x:c r="E28" s="16"/>
      <x:c r="F28" s="16"/>
      <x:c r="G28" s="16" t="n">
        <x:v>1</x:v>
      </x:c>
      <x:c r="H28" s="16"/>
      <x:c r="I28" s="17" t="str">
        <x:v>道士防御法术的已装备消耗材料；独立材料槽；包数量待定时关闭</x:v>
      </x:c>
      <x:c r="J28" s="17"/>
      <x:c r="K28" s="17" t="str">
        <x:v>unverified</x:v>
      </x:c>
      <x:c r="L28" s="18" t="str">
        <x:v>资料参考/myf/Mud2/DB/ApexM2_stditems.csv:189；Crystal HumanObject.cs:6859-6868,1346-1375</x:v>
      </x:c>
      <x:c r="M28" s="18" t="str">
        <x:v>MYF Shape5/DuraMax1000不证明Crystal Shape0/Count1000。max_stack留空，casting_supply.enabled=false；未创建NPC护符商品，不能以0充当可用堆叠。</x:v>
      </x:c>
    </x:row>
    <x:row r="29" ht="56" customHeight="1">
      <x:c r="A29" s="19">
        <x:v>8</x:v>
      </x:c>
      <x:c r="B29" s="17" t="inlineStr">
        <x:is>
          <x:t xml:space="preserve">skill_book_8</x:t>
        </x:is>
      </x:c>
      <x:c r="C29" s="17" t="inlineStr">
        <x:is>
          <x:t xml:space="preserve">《抗拒火环》</x:t>
        </x:is>
      </x:c>
      <x:c r="D29" s="17" t="inlineStr">
        <x:is>
          <x:t xml:space="preserve">skill_book</x:t>
        </x:is>
      </x:c>
      <x:c r="E29" s="16">
        <x:v>1</x:v>
      </x:c>
      <x:c r="F29" s="16"/>
      <x:c r="G29" s="16">
        <x:v>1</x:v>
      </x:c>
      <x:c r="H29" s="16">
        <x:v>0</x:v>
      </x:c>
      <x:c r="I29" s="17" t="inlineStr">
        <x:is>
          <x:t xml:space="preserve">学习与升级对应技能；来源按实例保存，商店/赠书不可拆页</x:t>
        </x:is>
      </x:c>
      <x:c r="J29" s="17"/>
      <x:c r="K29" s="17" t="inlineStr">
        <x:is>
          <x:t xml:space="preserve">candidate</x:t>
        </x:is>
      </x:c>
      <x:c r="L29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M29" s="18" t="inlineStr">
        <x:is>
          <x:t xml:space="preserve">原始书身份候选；原像素图标尚待映射。NPC品质0、开发掉落品质另配为1，来源不由绑定推断。</x:t>
        </x:is>
      </x:c>
    </x:row>
    <x:row r="30" ht="56" customHeight="1">
      <x:c r="A30" s="19">
        <x:v>5</x:v>
      </x:c>
      <x:c r="B30" s="17" t="inlineStr">
        <x:is>
          <x:t xml:space="preserve">skill_book_27</x:t>
        </x:is>
      </x:c>
      <x:c r="C30" s="17" t="inlineStr">
        <x:is>
          <x:t xml:space="preserve">《野蛮冲撞》</x:t>
        </x:is>
      </x:c>
      <x:c r="D30" s="17" t="inlineStr">
        <x:is>
          <x:t xml:space="preserve">skill_book</x:t>
        </x:is>
      </x:c>
      <x:c r="E30" s="16">
        <x:v>1</x:v>
      </x:c>
      <x:c r="F30" s="16"/>
      <x:c r="G30" s="16">
        <x:v>1</x:v>
      </x:c>
      <x:c r="H30" s="16">
        <x:v>0</x:v>
      </x:c>
      <x:c r="I30" s="17" t="inlineStr">
        <x:is>
          <x:t xml:space="preserve">学习与升级对应技能；来源按实例保存，商店/赠书不可拆页</x:t>
        </x:is>
      </x:c>
      <x:c r="J30" s="17"/>
      <x:c r="K30" s="17" t="inlineStr">
        <x:is>
          <x:t xml:space="preserve">candidate</x:t>
        </x:is>
      </x:c>
      <x:c r="L30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M30" s="18" t="inlineStr">
        <x:is>
          <x:t xml:space="preserve">原始书身份候选；原像素图标尚待映射。NPC品质0、开发掉落品质另配为1，来源不由绑定推断。</x:t>
        </x:is>
      </x:c>
    </x:row>
    <x:row r="31" ht="56" customHeight="1">
      <x:c r="A31" s="19">
        <x:v>13</x:v>
      </x:c>
      <x:c r="B31" s="17" t="inlineStr">
        <x:is>
          <x:t xml:space="preserve">skill_book_21</x:t>
        </x:is>
      </x:c>
      <x:c r="C31" s="17" t="inlineStr">
        <x:is>
          <x:t xml:space="preserve">《瞬息移动》</x:t>
        </x:is>
      </x:c>
      <x:c r="D31" s="17" t="inlineStr">
        <x:is>
          <x:t xml:space="preserve">skill_book</x:t>
        </x:is>
      </x:c>
      <x:c r="E31" s="16">
        <x:v>1</x:v>
      </x:c>
      <x:c r="F31" s="16"/>
      <x:c r="G31" s="16">
        <x:v>1</x:v>
      </x:c>
      <x:c r="H31" s="16">
        <x:v>0</x:v>
      </x:c>
      <x:c r="I31" s="17" t="inlineStr">
        <x:is>
          <x:t xml:space="preserve">学习与升级瞬息移动；实例来源/品质沿既有规则，NPC及初始赠书不得拆页</x:t>
        </x:is>
      </x:c>
      <x:c r="J31" s="17"/>
      <x:c r="K31" s="17" t="inlineStr">
        <x:is>
          <x:t xml:space="preserve">candidate</x:t>
        </x:is>
      </x:c>
      <x:c r="L31" s="18" t="inlineStr">
        <x:is>
          <x:t xml:space="preserve">MYF Mud2/DB/ApexM2_stditems.csv:1,15（Idx13、Stdmode4、原名瞬息移动、Price2000）；仅开发来源候选，非原服实际成交认证</x:t>
        </x:is>
      </x:c>
      <x:c r="M31" s="18" t="inlineStr">
        <x:is>
          <x:t xml:space="preserve">书13原身份候选，Price仅写商城独立价格行；不新增初始赠书，不把技能MP写成永久资产收费。</x:t>
        </x:is>
      </x:c>
    </x:row>
    <x:row r="32" ht="56" customHeight="1">
      <x:c r="A32" s="19">
        <x:v>25</x:v>
      </x:c>
      <x:c r="B32" s="17" t="inlineStr">
        <x:is>
          <x:t xml:space="preserve">skill_book_17</x:t>
        </x:is>
      </x:c>
      <x:c r="C32" s="17" t="inlineStr">
        <x:is>
          <x:t xml:space="preserve">《召唤骷髅》</x:t>
        </x:is>
      </x:c>
      <x:c r="D32" s="17" t="inlineStr">
        <x:is>
          <x:t xml:space="preserve">skill_book</x:t>
        </x:is>
      </x:c>
      <x:c r="E32" s="16">
        <x:v>1</x:v>
      </x:c>
      <x:c r="F32" s="16"/>
      <x:c r="G32" s="16">
        <x:v>1</x:v>
      </x:c>
      <x:c r="H32" s="16">
        <x:v>0</x:v>
      </x:c>
      <x:c r="I32" s="17" t="inlineStr">
        <x:is>
          <x:t xml:space="preserve">关闭的召唤候选书；不增加初始赠书或商店，正常学习与升级入口待后续验收</x:t>
        </x:is>
      </x:c>
      <x:c r="J32" s="17"/>
      <x:c r="K32" s="17" t="inlineStr">
        <x:is>
          <x:t xml:space="preserve">candidate</x:t>
        </x:is>
      </x:c>
      <x:c r="L32" s="18" t="inlineStr">
        <x:is>
          <x:t xml:space="preserve">MYF Mud2/DB/ApexM2_stditems.csv:27（Idx25/Stdmode4/原名召唤骷髅）；本任务候选，未新增价格行</x:t>
        </x:is>
      </x:c>
      <x:c r="M32" s="18" t="inlineStr">
        <x:is>
          <x:t xml:space="preserve">书25只由召唤独立catalog投影，不进入主22技能对应书表；未开17/购符/赠书/升级；护符187数量与售价继续未知。</x:t>
        </x:is>
      </x:c>
    </x:row>
  </x:sheetData>
  <x:conditionalFormatting sqref="A4:A1003">
    <x:cfRule type="expression" dxfId="382" priority="1">
      <x:formula>AND($A4&lt;&gt;"",ISBLANK(A4))</x:formula>
    </x:cfRule>
  </x:conditionalFormatting>
  <x:conditionalFormatting sqref="B4:B1003">
    <x:cfRule type="expression" dxfId="383" priority="2">
      <x:formula>AND($A4&lt;&gt;"",ISBLANK(B4))</x:formula>
    </x:cfRule>
  </x:conditionalFormatting>
  <x:conditionalFormatting sqref="C4:C1003">
    <x:cfRule type="expression" dxfId="384" priority="3">
      <x:formula>AND($A4&lt;&gt;"",ISBLANK(C4))</x:formula>
    </x:cfRule>
  </x:conditionalFormatting>
  <x:conditionalFormatting sqref="D4:D1003">
    <x:cfRule type="expression" dxfId="385" priority="4">
      <x:formula>AND($A4&lt;&gt;"",ISBLANK(D4))</x:formula>
    </x:cfRule>
  </x:conditionalFormatting>
  <x:conditionalFormatting sqref="E4:E1003">
    <x:cfRule type="expression" dxfId="386" priority="5">
      <x:formula>AND($A4&lt;&gt;"",ISBLANK(E4))</x:formula>
    </x:cfRule>
  </x:conditionalFormatting>
  <x:conditionalFormatting sqref="G4:G1003">
    <x:cfRule type="expression" dxfId="387" priority="6">
      <x:formula>AND($A4&lt;&gt;"",ISBLANK(G4))</x:formula>
    </x:cfRule>
  </x:conditionalFormatting>
  <x:conditionalFormatting sqref="J4:J1003">
    <x:cfRule type="expression" dxfId="388" priority="7">
      <x:formula>AND($A4&lt;&gt;"",ISBLANK(J4))</x:formula>
    </x:cfRule>
  </x:conditionalFormatting>
  <x:conditionalFormatting sqref="K4:K1003">
    <x:cfRule type="containsText" dxfId="389" priority="8" operator="containsText" text="candidate"/>
    <x:cfRule type="containsText" dxfId="390" priority="9" operator="containsText" text="unverified"/>
    <x:cfRule type="containsText" dxfId="391" priority="10" operator="containsText" text="historical"/>
  </x:conditionalFormatting>
  <x:dataValidations count="1">
    <x:dataValidation type="list" sqref="K4:K1003">
      <x:formula1>"confirmed,candidate,unverified,historical"</x:formula1>
    </x:dataValidation>
  </x:dataValidation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18" hidden="0" customWidth="1"/>
    <x:col min="6" max="6" width="18" hidden="0" customWidth="1"/>
    <x:col min="7" max="7" width="18" hidden="0" customWidth="1"/>
    <x:col min="8" max="8" width="54" hidden="0" customWidth="1"/>
    <x:col min="9" max="9" width="23" hidden="0" customWidth="1"/>
    <x:col min="10" max="10" width="18" hidden="0" customWidth="1"/>
    <x:col min="11" max="11" width="28" hidden="0" customWidth="1"/>
    <x:col min="12" max="12" width="18" hidden="0" customWidth="1"/>
    <x:col min="13" max="13" width="48" hidden="0" customWidth="1"/>
    <x:col min="14" max="14" width="70" hidden="0" customWidth="1"/>
  </x:cols>
  <x:sheetData>
    <x:row r="1" ht="30" customHeight="1">
      <x:c r="A1" s="7" t="str">
        <x:v>配置编号</x:v>
      </x:c>
      <x:c r="B1" s="7" t="str">
        <x:v>物品配置ID</x:v>
      </x:c>
      <x:c r="C1" s="7" t="str">
        <x:v>配方与外观类型</x:v>
      </x:c>
      <x:c r="D1" s="7" t="str">
        <x:v>允许职业</x:v>
      </x:c>
      <x:c r="E1" s="7" t="str">
        <x:v>需求等级</x:v>
      </x:c>
      <x:c r="F1" s="7" t="str">
        <x:v>品质</x:v>
      </x:c>
      <x:c r="G1" s="7" t="str">
        <x:v>装备阶段</x:v>
      </x:c>
      <x:c r="H1" s="7" t="str">
        <x:v>有类型基础属性</x:v>
      </x:c>
      <x:c r="I1" s="7" t="str">
        <x:v>原始持久上限</x:v>
      </x:c>
      <x:c r="J1" s="7" t="str">
        <x:v>重量</x:v>
      </x:c>
      <x:c r="K1" s="7" t="str">
        <x:v>打造附加基础参与强化</x:v>
      </x:c>
      <x:c r="L1" s="7" t="str">
        <x:v>参数状态</x:v>
      </x:c>
      <x:c r="M1" s="7" t="str">
        <x:v>来源章节与行号</x:v>
      </x:c>
      <x:c r="N1" s="7" t="str">
        <x:v>说明</x:v>
      </x:c>
    </x:row>
    <x:row r="2" ht="30" customHeight="1">
      <x:c r="A2" s="12" t="str">
        <x:v>id</x:v>
      </x:c>
      <x:c r="B2" s="12" t="str">
        <x:v>item_id</x:v>
      </x:c>
      <x:c r="C2" s="12" t="str">
        <x:v>equipment_type</x:v>
      </x:c>
      <x:c r="D2" s="12" t="str">
        <x:v>class_restriction</x:v>
      </x:c>
      <x:c r="E2" s="12" t="str">
        <x:v>required_level</x:v>
      </x:c>
      <x:c r="F2" s="12" t="str">
        <x:v>quality</x:v>
      </x:c>
      <x:c r="G2" s="12" t="str">
        <x:v>stage</x:v>
      </x:c>
      <x:c r="H2" s="12" t="str">
        <x:v>base_attributes</x:v>
      </x:c>
      <x:c r="I2" s="12" t="str">
        <x:v>original_durability_u</x:v>
      </x:c>
      <x:c r="J2" s="12" t="str">
        <x:v>weight</x:v>
      </x:c>
      <x:c r="K2" s="12" t="str">
        <x:v>craft_bonus_strengthenable</x:v>
      </x:c>
      <x:c r="L2" s="12" t="str">
        <x:v>record_status</x:v>
      </x:c>
      <x:c r="M2" s="12" t="str">
        <x:v>source_ref</x:v>
      </x:c>
      <x:c r="N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string / 必填 / both</x:v>
      </x:c>
      <x:c r="D3" s="15" t="str">
        <x:v>json / 必填 / both</x:v>
      </x:c>
      <x:c r="E3" s="15" t="str">
        <x:v>int / 必填 / both</x:v>
      </x:c>
      <x:c r="F3" s="15" t="str">
        <x:v>int / 必填 / both</x:v>
      </x:c>
      <x:c r="G3" s="15" t="str">
        <x:v>int / 必填 / both</x:v>
      </x:c>
      <x:c r="H3" s="15" t="str">
        <x:v>json / 必填 / both</x:v>
      </x:c>
      <x:c r="I3" s="15" t="str">
        <x:v>int / 必填 / 1/1000显示持久 / both</x:v>
      </x:c>
      <x:c r="J3" s="15" t="str">
        <x:v>int / 必填 / both</x:v>
      </x:c>
      <x:c r="K3" s="15" t="str">
        <x:v>bool / 必填 / both</x:v>
      </x:c>
      <x:c r="L3" s="15" t="str">
        <x:v>string / 必填 / none</x:v>
      </x:c>
      <x:c r="M3" s="15" t="str">
        <x:v>string / 必填 / none</x:v>
      </x:c>
      <x:c r="N3" s="15" t="str">
        <x:v>string / 可空 / none</x:v>
      </x:c>
    </x:row>
    <x:row r="4" ht="39.599998474121094" hidden="0" customHeight="1">
      <x:c r="A4" s="19" t="n">
        <x:v>218</x:v>
      </x:c>
      <x:c r="B4" s="16" t="n">
        <x:v>218</x:v>
      </x:c>
      <x:c r="C4" s="17" t="str">
        <x:v>weapon</x:v>
      </x:c>
      <x:c r="D4" s="17" t="str">
        <x:v>[0,1,2]</x:v>
      </x:c>
      <x:c r="E4" s="16" t="n">
        <x:v>1</x:v>
      </x:c>
      <x:c r="F4" s="16" t="n">
        <x:v>0</x:v>
      </x:c>
      <x:c r="G4" s="16" t="n">
        <x:v>0</x:v>
      </x:c>
      <x:c r="H4" s="17" t="str">
        <x:v>{"physical_attack_min":2,"physical_attack_max":5,"physical_defence_min":0,"physical_defence_max":0,"magic_defence_min":0,"magic_defence_max":0,"attack_speed":0}</x:v>
      </x:c>
      <x:c r="I4" s="16" t="n">
        <x:v>4000</x:v>
      </x:c>
      <x:c r="J4" s="16" t="n">
        <x:v>7</x:v>
      </x:c>
      <x:c r="K4" s="9" t="b">
        <x:v>0</x:v>
      </x:c>
      <x:c r="L4" s="17" t="str">
        <x:v>candidate</x:v>
      </x:c>
      <x:c r="M4" s="18" t="str">
        <x:v>资料参考/myf/Mud2/DB/ApexM2_stditems.csv:220</x:v>
      </x:c>
      <x:c r="N4" s="18" t="str">
        <x:v>仅显式development配置使用的跨来源候选；未通过目标1.80行为/数值/真机验收，不进入正式发布。 品质0、阶段0是开发夹具对接本项目枚举的工程选择；不把来源Color当品质。 首组开发装备未接额外攻速词条，本轮明确attack_speed=0适配；不证明源服全部词条。</x:v>
      </x:c>
    </x:row>
    <x:row r="5" ht="39.599998474121094" hidden="0" customHeight="1">
      <x:c r="A5" s="19" t="n">
        <x:v>193</x:v>
      </x:c>
      <x:c r="B5" s="16" t="n">
        <x:v>193</x:v>
      </x:c>
      <x:c r="C5" s="17" t="str">
        <x:v>armour</x:v>
      </x:c>
      <x:c r="D5" s="17" t="str">
        <x:v>[0,1,2]</x:v>
      </x:c>
      <x:c r="E5" s="16" t="n">
        <x:v>1</x:v>
      </x:c>
      <x:c r="F5" s="16" t="n">
        <x:v>0</x:v>
      </x:c>
      <x:c r="G5" s="16" t="n">
        <x:v>0</x:v>
      </x:c>
      <x:c r="H5" s="17" t="str">
        <x:v>{"physical_attack_min":0,"physical_attack_max":0,"physical_defence_min":2,"physical_defence_max":2,"magic_defence_min":0,"magic_defence_max":1,"attack_speed":0}</x:v>
      </x:c>
      <x:c r="I5" s="16" t="n">
        <x:v>10000</x:v>
      </x:c>
      <x:c r="J5" s="16" t="n">
        <x:v>5</x:v>
      </x:c>
      <x:c r="K5" s="9" t="b">
        <x:v>0</x:v>
      </x:c>
      <x:c r="L5" s="17" t="str">
        <x:v>candidate</x:v>
      </x:c>
      <x:c r="M5" s="18" t="str">
        <x:v>最终策划案.md:113-115、485-497（4.2、4.20）；资料参考/myf/Mud2/DB/ApexM2_stditems.csv:195</x:v>
      </x:c>
      <x:c r="N5" s="18" t="str">
        <x:v>来源原名布衣(男)。本作无性别穿戴门槛，不新增男女装备分类，同itemID按职业固定外观；允许职业[0,1,2]是目标规则适配。女法师衣服外观映射仍待正式资源验收。仅development候选，未通过目标1.80行为或数值验收。 首组开发装备未接额外攻速词条，本轮明确attack_speed=0适配；不证明源服全部词条。</x:v>
      </x:c>
    </x:row>
    <x:row r="6" ht="15" hidden="0" customHeight="1">
      <x:c r="A6" s="19"/>
      <x:c r="B6" s="16"/>
      <x:c r="C6" s="17"/>
      <x:c r="D6" s="17"/>
      <x:c r="E6" s="16"/>
      <x:c r="F6" s="16"/>
      <x:c r="G6" s="16"/>
      <x:c r="H6" s="17"/>
      <x:c r="I6" s="16"/>
      <x:c r="J6" s="16"/>
      <x:c r="K6" s="2"/>
      <x:c r="L6" s="17"/>
      <x:c r="M6" s="18"/>
      <x:c r="N6" s="18"/>
    </x:row>
    <x:row r="7" ht="15" hidden="0" customHeight="1">
      <x:c r="A7" s="19"/>
      <x:c r="B7" s="16"/>
      <x:c r="C7" s="17"/>
      <x:c r="D7" s="17"/>
      <x:c r="E7" s="16"/>
      <x:c r="F7" s="16"/>
      <x:c r="G7" s="16"/>
      <x:c r="H7" s="17"/>
      <x:c r="I7" s="16"/>
      <x:c r="J7" s="16"/>
      <x:c r="K7" s="2"/>
      <x:c r="L7" s="17"/>
      <x:c r="M7" s="18"/>
      <x:c r="N7" s="18"/>
    </x:row>
    <x:row r="8" ht="15" hidden="0" customHeight="1">
      <x:c r="A8" s="19"/>
      <x:c r="B8" s="16"/>
      <x:c r="C8" s="17"/>
      <x:c r="D8" s="17"/>
      <x:c r="E8" s="16"/>
      <x:c r="F8" s="16"/>
      <x:c r="G8" s="16"/>
      <x:c r="H8" s="17"/>
      <x:c r="I8" s="16"/>
      <x:c r="J8" s="16"/>
      <x:c r="K8" s="2"/>
      <x:c r="L8" s="17"/>
      <x:c r="M8" s="18"/>
      <x:c r="N8" s="18"/>
    </x:row>
    <x:row r="9" ht="15" hidden="0" customHeight="1">
      <x:c r="A9" s="19"/>
      <x:c r="B9" s="16"/>
      <x:c r="C9" s="17"/>
      <x:c r="D9" s="17"/>
      <x:c r="E9" s="16"/>
      <x:c r="F9" s="16"/>
      <x:c r="G9" s="16"/>
      <x:c r="H9" s="17"/>
      <x:c r="I9" s="16"/>
      <x:c r="J9" s="16"/>
      <x:c r="K9" s="2"/>
      <x:c r="L9" s="17"/>
      <x:c r="M9" s="18"/>
      <x:c r="N9" s="18"/>
    </x:row>
  </x:sheetData>
  <x:conditionalFormatting sqref="A4:A1003">
    <x:cfRule type="expression" dxfId="392" priority="1">
      <x:formula>AND($A4&lt;&gt;"",ISBLANK(A4))</x:formula>
    </x:cfRule>
  </x:conditionalFormatting>
  <x:conditionalFormatting sqref="B4:B1003">
    <x:cfRule type="expression" dxfId="393" priority="2">
      <x:formula>AND($A4&lt;&gt;"",ISBLANK(B4))</x:formula>
    </x:cfRule>
  </x:conditionalFormatting>
  <x:conditionalFormatting sqref="C4:C1003">
    <x:cfRule type="expression" dxfId="394" priority="3">
      <x:formula>AND($A4&lt;&gt;"",ISBLANK(C4))</x:formula>
    </x:cfRule>
  </x:conditionalFormatting>
  <x:conditionalFormatting sqref="D4:D1003">
    <x:cfRule type="expression" dxfId="395" priority="4">
      <x:formula>AND($A4&lt;&gt;"",ISBLANK(D4))</x:formula>
    </x:cfRule>
  </x:conditionalFormatting>
  <x:conditionalFormatting sqref="E4:E1003">
    <x:cfRule type="expression" dxfId="396" priority="5">
      <x:formula>AND($A4&lt;&gt;"",ISBLANK(E4))</x:formula>
    </x:cfRule>
  </x:conditionalFormatting>
  <x:conditionalFormatting sqref="F4:F1003">
    <x:cfRule type="expression" dxfId="397" priority="6">
      <x:formula>AND($A4&lt;&gt;"",ISBLANK(F4))</x:formula>
    </x:cfRule>
  </x:conditionalFormatting>
  <x:conditionalFormatting sqref="G4:G1003">
    <x:cfRule type="expression" dxfId="398" priority="7">
      <x:formula>AND($A4&lt;&gt;"",ISBLANK(G4))</x:formula>
    </x:cfRule>
  </x:conditionalFormatting>
  <x:conditionalFormatting sqref="H4:H1003">
    <x:cfRule type="expression" dxfId="399" priority="8">
      <x:formula>AND($A4&lt;&gt;"",ISBLANK(H4))</x:formula>
    </x:cfRule>
  </x:conditionalFormatting>
  <x:conditionalFormatting sqref="I4:I1003">
    <x:cfRule type="expression" dxfId="400" priority="9">
      <x:formula>AND($A4&lt;&gt;"",ISBLANK(I4))</x:formula>
    </x:cfRule>
  </x:conditionalFormatting>
  <x:conditionalFormatting sqref="J4:J1003">
    <x:cfRule type="expression" dxfId="401" priority="10">
      <x:formula>AND($A4&lt;&gt;"",ISBLANK(J4))</x:formula>
    </x:cfRule>
  </x:conditionalFormatting>
  <x:conditionalFormatting sqref="K4:K1003">
    <x:cfRule type="expression" dxfId="402" priority="11">
      <x:formula>AND($A4&lt;&gt;"",ISBLANK(K4))</x:formula>
    </x:cfRule>
  </x:conditionalFormatting>
  <x:conditionalFormatting sqref="L4:L1003">
    <x:cfRule type="containsText" dxfId="403" priority="12" operator="containsText" text="candidate"/>
    <x:cfRule type="containsText" dxfId="404" priority="13" operator="containsText" text="unverified"/>
    <x:cfRule type="containsText" dxfId="405" priority="14" operator="containsText" text="historical"/>
  </x:conditionalFormatting>
  <x:dataValidations count="1">
    <x:dataValidation type="list" sqref="L4:L1003">
      <x:formula1>"confirmed,candidate,unverified,historical"</x:formula1>
    </x:dataValidation>
  </x:dataValidation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9" hidden="0" customWidth="1"/>
    <x:col min="6" max="6" width="21" hidden="0" customWidth="1"/>
    <x:col min="7" max="7" width="54" hidden="0" customWidth="1"/>
    <x:col min="8" max="8" width="54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物品配置ID</x:v>
      </x:c>
      <x:c r="C1" s="7" t="str">
        <x:v>职业</x:v>
      </x:c>
      <x:c r="D1" s="7" t="str">
        <x:v>固定职业形象键</x:v>
      </x:c>
      <x:c r="E1" s="7" t="str">
        <x:v>衣服资源键</x:v>
      </x:c>
      <x:c r="F1" s="7" t="str">
        <x:v>武器资源键</x:v>
      </x:c>
      <x:c r="G1" s="7" t="str">
        <x:v>脚底挂点与层序</x:v>
      </x:c>
      <x:c r="H1" s="7" t="str">
        <x:v>动作八方向映射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item_id</x:v>
      </x:c>
      <x:c r="C2" s="12" t="str">
        <x:v>class_id</x:v>
      </x:c>
      <x:c r="D2" s="12" t="str">
        <x:v>appearance_key</x:v>
      </x:c>
      <x:c r="E2" s="12" t="str">
        <x:v>body_resource_key</x:v>
      </x:c>
      <x:c r="F2" s="12" t="str">
        <x:v>weapon_resource_key</x:v>
      </x:c>
      <x:c r="G2" s="12" t="str">
        <x:v>anchor_and_layers</x:v>
      </x:c>
      <x:c r="H2" s="12" t="str">
        <x:v>action_map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string / 必填 / both</x:v>
      </x:c>
      <x:c r="E3" s="15" t="str">
        <x:v>string / 必填 / both</x:v>
      </x:c>
      <x:c r="F3" s="15" t="str">
        <x:v>string / 可空 / both</x:v>
      </x:c>
      <x:c r="G3" s="15" t="str">
        <x:v>json / 必填 / both</x:v>
      </x:c>
      <x:c r="H3" s="15" t="str">
        <x:v>json / 必填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/>
      <x:c r="B4" s="16"/>
      <x:c r="C4" s="16"/>
      <x:c r="D4" s="17"/>
      <x:c r="E4" s="17"/>
      <x:c r="F4" s="17"/>
      <x:c r="G4" s="17"/>
      <x:c r="H4" s="17"/>
      <x:c r="I4" s="17"/>
      <x:c r="J4" s="18"/>
      <x:c r="K4" s="18"/>
    </x:row>
    <x:row r="5" ht="15" hidden="0" customHeight="1">
      <x:c r="A5" s="19"/>
      <x:c r="B5" s="16"/>
      <x:c r="C5" s="16"/>
      <x:c r="D5" s="17"/>
      <x:c r="E5" s="17"/>
      <x:c r="F5" s="17"/>
      <x:c r="G5" s="17"/>
      <x:c r="H5" s="17"/>
      <x:c r="I5" s="17"/>
      <x:c r="J5" s="18"/>
      <x:c r="K5" s="18"/>
    </x:row>
    <x:row r="6" ht="15" hidden="0" customHeight="1">
      <x:c r="A6" s="19"/>
      <x:c r="B6" s="16"/>
      <x:c r="C6" s="16"/>
      <x:c r="D6" s="17"/>
      <x:c r="E6" s="17"/>
      <x:c r="F6" s="17"/>
      <x:c r="G6" s="17"/>
      <x:c r="H6" s="17"/>
      <x:c r="I6" s="17"/>
      <x:c r="J6" s="18"/>
      <x:c r="K6" s="18"/>
    </x:row>
    <x:row r="7" ht="15" hidden="0" customHeight="1">
      <x:c r="A7" s="19"/>
      <x:c r="B7" s="16"/>
      <x:c r="C7" s="16"/>
      <x:c r="D7" s="17"/>
      <x:c r="E7" s="17"/>
      <x:c r="F7" s="17"/>
      <x:c r="G7" s="17"/>
      <x:c r="H7" s="17"/>
      <x:c r="I7" s="17"/>
      <x:c r="J7" s="18"/>
      <x:c r="K7" s="18"/>
    </x:row>
    <x:row r="8" ht="15" hidden="0" customHeight="1">
      <x:c r="A8" s="19"/>
      <x:c r="B8" s="16"/>
      <x:c r="C8" s="16"/>
      <x:c r="D8" s="17"/>
      <x:c r="E8" s="17"/>
      <x:c r="F8" s="17"/>
      <x:c r="G8" s="17"/>
      <x:c r="H8" s="17"/>
      <x:c r="I8" s="17"/>
      <x:c r="J8" s="18"/>
      <x:c r="K8" s="18"/>
    </x:row>
    <x:row r="9" ht="15" hidden="0" customHeight="1">
      <x:c r="A9" s="19"/>
      <x:c r="B9" s="16"/>
      <x:c r="C9" s="16"/>
      <x:c r="D9" s="17"/>
      <x:c r="E9" s="17"/>
      <x:c r="F9" s="17"/>
      <x:c r="G9" s="17"/>
      <x:c r="H9" s="17"/>
      <x:c r="I9" s="17"/>
      <x:c r="J9" s="18"/>
      <x:c r="K9" s="18"/>
    </x:row>
  </x:sheetData>
  <x:conditionalFormatting sqref="A4:A1003">
    <x:cfRule type="expression" dxfId="406" priority="1">
      <x:formula>AND($A4&lt;&gt;"",ISBLANK(A4))</x:formula>
    </x:cfRule>
  </x:conditionalFormatting>
  <x:conditionalFormatting sqref="B4:B1003">
    <x:cfRule type="expression" dxfId="407" priority="2">
      <x:formula>AND($A4&lt;&gt;"",ISBLANK(B4))</x:formula>
    </x:cfRule>
  </x:conditionalFormatting>
  <x:conditionalFormatting sqref="C4:C1003">
    <x:cfRule type="expression" dxfId="408" priority="3">
      <x:formula>AND($A4&lt;&gt;"",ISBLANK(C4))</x:formula>
    </x:cfRule>
  </x:conditionalFormatting>
  <x:conditionalFormatting sqref="D4:D1003">
    <x:cfRule type="expression" dxfId="409" priority="4">
      <x:formula>AND($A4&lt;&gt;"",ISBLANK(D4))</x:formula>
    </x:cfRule>
  </x:conditionalFormatting>
  <x:conditionalFormatting sqref="E4:E1003">
    <x:cfRule type="expression" dxfId="410" priority="5">
      <x:formula>AND($A4&lt;&gt;"",ISBLANK(E4))</x:formula>
    </x:cfRule>
  </x:conditionalFormatting>
  <x:conditionalFormatting sqref="G4:G1003">
    <x:cfRule type="expression" dxfId="411" priority="6">
      <x:formula>AND($A4&lt;&gt;"",ISBLANK(G4))</x:formula>
    </x:cfRule>
  </x:conditionalFormatting>
  <x:conditionalFormatting sqref="H4:H1003">
    <x:cfRule type="expression" dxfId="412" priority="7">
      <x:formula>AND($A4&lt;&gt;"",ISBLANK(H4))</x:formula>
    </x:cfRule>
  </x:conditionalFormatting>
  <x:conditionalFormatting sqref="I4:I1003">
    <x:cfRule type="containsText" dxfId="413" priority="8" operator="containsText" text="candidate"/>
    <x:cfRule type="containsText" dxfId="414" priority="9" operator="containsText" text="unverified"/>
    <x:cfRule type="containsText" dxfId="415" priority="10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4" hidden="0" customWidth="1"/>
    <x:col min="8" max="8" width="20" hidden="0" customWidth="1"/>
    <x:col min="9" max="9" width="18" hidden="0" customWidth="1"/>
    <x:col min="10" max="10" width="20" hidden="0" customWidth="1"/>
    <x:col min="11" max="11" width="19" hidden="0" customWidth="1"/>
    <x:col min="12" max="12" width="19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48" hidden="0" customWidth="1"/>
    <x:col min="18" max="18" width="70" hidden="0" customWidth="1"/>
  </x:cols>
  <x:sheetData>
    <x:row r="1" ht="30" customHeight="1">
      <x:c r="A1" s="7" t="str">
        <x:v>配置编号</x:v>
      </x:c>
      <x:c r="B1" s="7" t="str">
        <x:v>怪物键</x:v>
      </x:c>
      <x:c r="C1" s="7" t="str">
        <x:v>名称</x:v>
      </x:c>
      <x:c r="D1" s="7" t="str">
        <x:v>等级</x:v>
      </x:c>
      <x:c r="E1" s="7" t="str">
        <x:v>类别</x:v>
      </x:c>
      <x:c r="F1" s="7" t="str">
        <x:v>生命</x:v>
      </x:c>
      <x:c r="G1" s="7" t="str">
        <x:v>攻击防御准确敏捷幸运等</x:v>
      </x:c>
      <x:c r="H1" s="7" t="str">
        <x:v>攻击间隔</x:v>
      </x:c>
      <x:c r="I1" s="7" t="str">
        <x:v>移动间隔</x:v>
      </x:c>
      <x:c r="J1" s="7" t="str">
        <x:v>攻击行为引用</x:v>
      </x:c>
      <x:c r="K1" s="7" t="str">
        <x:v>索敌范围</x:v>
      </x:c>
      <x:c r="L1" s="7" t="str">
        <x:v>追击范围</x:v>
      </x:c>
      <x:c r="M1" s="7" t="str">
        <x:v>击杀经验</x:v>
      </x:c>
      <x:c r="N1" s="7" t="str">
        <x:v>掉落池</x:v>
      </x:c>
      <x:c r="O1" s="7" t="str">
        <x:v>表现资源键</x:v>
      </x:c>
      <x:c r="P1" s="7" t="str">
        <x:v>参数状态</x:v>
      </x:c>
      <x:c r="Q1" s="7" t="str">
        <x:v>来源章节与行号</x:v>
      </x:c>
      <x:c r="R1" s="7" t="str">
        <x:v>说明</x:v>
      </x:c>
    </x:row>
    <x:row r="2" ht="30" customHeight="1">
      <x:c r="A2" s="12" t="str">
        <x:v>id</x:v>
      </x:c>
      <x:c r="B2" s="12" t="str">
        <x:v>monster_key</x:v>
      </x:c>
      <x:c r="C2" s="12" t="str">
        <x:v>display_name</x:v>
      </x:c>
      <x:c r="D2" s="12" t="str">
        <x:v>level</x:v>
      </x:c>
      <x:c r="E2" s="12" t="str">
        <x:v>category</x:v>
      </x:c>
      <x:c r="F2" s="12" t="str">
        <x:v>hp</x:v>
      </x:c>
      <x:c r="G2" s="12" t="str">
        <x:v>attributes</x:v>
      </x:c>
      <x:c r="H2" s="12" t="str">
        <x:v>attack_interval_ms</x:v>
      </x:c>
      <x:c r="I2" s="12" t="str">
        <x:v>move_interval_ms</x:v>
      </x:c>
      <x:c r="J2" s="12" t="str">
        <x:v>attack_behavior_id</x:v>
      </x:c>
      <x:c r="K2" s="12" t="str">
        <x:v>aggro_range_cells</x:v>
      </x:c>
      <x:c r="L2" s="12" t="str">
        <x:v>chase_range_cells</x:v>
      </x:c>
      <x:c r="M2" s="12" t="str">
        <x:v>exp</x:v>
      </x:c>
      <x:c r="N2" s="12" t="str">
        <x:v>drop_pool_id</x:v>
      </x:c>
      <x:c r="O2" s="12" t="str">
        <x:v>resource_key</x:v>
      </x:c>
      <x:c r="P2" s="12" t="str">
        <x:v>record_status</x:v>
      </x:c>
      <x:c r="Q2" s="12" t="str">
        <x:v>source_ref</x:v>
      </x:c>
      <x:c r="R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string / 必填 / both</x:v>
      </x:c>
      <x:c r="F3" s="15" t="str">
        <x:v>int / 必填 / both</x:v>
      </x:c>
      <x:c r="G3" s="15" t="str">
        <x:v>json / 必填 / server</x:v>
      </x:c>
      <x:c r="H3" s="15" t="str">
        <x:v>int / 必填 / 毫秒 / both</x:v>
      </x:c>
      <x:c r="I3" s="15" t="str">
        <x:v>int / 必填 / 毫秒 / both</x:v>
      </x:c>
      <x:c r="J3" s="15" t="str">
        <x:v>string / 必填 / server</x:v>
      </x:c>
      <x:c r="K3" s="15" t="str">
        <x:v>int / 必填 / 格 / server</x:v>
      </x:c>
      <x:c r="L3" s="15" t="str">
        <x:v>int / 必填 / 格 / server</x:v>
      </x:c>
      <x:c r="M3" s="15" t="str">
        <x:v>int / 必填 / both</x:v>
      </x:c>
      <x:c r="N3" s="15" t="str">
        <x:v>int / 必填 / server</x:v>
      </x:c>
      <x:c r="O3" s="15" t="str">
        <x:v>string / 必填 / both</x:v>
      </x:c>
      <x:c r="P3" s="15" t="str">
        <x:v>string / 必填 / none</x:v>
      </x:c>
      <x:c r="Q3" s="15" t="str">
        <x:v>string / 必填 / none</x:v>
      </x:c>
      <x:c r="R3" s="15" t="str">
        <x:v>string / 可空 / none</x:v>
      </x:c>
    </x:row>
    <x:row r="4" ht="39.599998474121094" hidden="0" customHeight="1">
      <x:c r="A4" s="19" t="n">
        <x:v>1</x:v>
      </x:c>
      <x:c r="B4" s="17" t="str">
        <x:v>dev_scarecrow</x:v>
      </x:c>
      <x:c r="C4" s="17" t="str">
        <x:v>稻草人</x:v>
      </x:c>
      <x:c r="D4" s="16" t="n">
        <x:v>8</x:v>
      </x:c>
      <x:c r="E4" s="17" t="str">
        <x:v>ordinary</x:v>
      </x:c>
      <x:c r="F4" s="16" t="n">
        <x:v>15</x:v>
      </x:c>
      <x:c r="G4" s="17" t="str">
        <x:v>{"mp":0,"physical_attack_min":1,"physical_attack_max":2,"physical_defence_min":0,"physical_defence_max":0,"magic_defence":0,"accuracy":5,"agility":10,"undead":true,"can_push":true}</x:v>
      </x:c>
      <x:c r="H4" s="16" t="n">
        <x:v>2500</x:v>
      </x:c>
      <x:c r="I4" s="16" t="n">
        <x:v>1500</x:v>
      </x:c>
      <x:c r="J4" s="17" t="str">
        <x:v>development_range_minus_defence</x:v>
      </x:c>
      <x:c r="K4" s="16"/>
      <x:c r="L4" s="16"/>
      <x:c r="M4" s="16" t="n">
        <x:v>15</x:v>
      </x:c>
      <x:c r="N4" s="16" t="n">
        <x:v>1</x:v>
      </x:c>
      <x:c r="O4" s="17" t="str">
        <x:v>monster_scarecrow</x:v>
      </x:c>
      <x:c r="P4" s="17" t="str">
        <x:v>candidate</x:v>
      </x:c>
      <x:c r="Q4" s="18" t="str">
        <x:v>资料参考/myf/Mud2/DB/ApexM2_Monster.csv:13；client/assets/resources/development/manifest.json；资料参考/crystal/Server/MirDatabase/MonsterInfo.cs:39；资料参考/crystal/Server/MirObjects/MonsterObject.cs:1035-1093</x:v>
      </x:c>
      <x:c r="R4" s="18" t="str">
        <x:v>仅显式development配置使用的跨来源候选；未通过目标1.80行为/数值/真机验收，不进入正式发布。 本轮Undead仅按原CSV字段显式投影，不能凭名称推断。；CanPush采用Crystal MonsterInfo默认true作为当前形象开发候选，并非MYF实库已认证；宠物从其monster_template_id同一怪物attributes引用，不另维护。</x:v>
      </x:c>
    </x:row>
    <x:row r="5" ht="39.599998474121094" hidden="0" customHeight="1">
      <x:c r="A5" s="19" t="n">
        <x:v>2</x:v>
      </x:c>
      <x:c r="B5" s="17" t="str">
        <x:v>dev_skeleton_pet</x:v>
      </x:c>
      <x:c r="C5" s="17" t="str">
        <x:v>变异骷髅</x:v>
      </x:c>
      <x:c r="D5" s="16" t="n">
        <x:v>15</x:v>
      </x:c>
      <x:c r="E5" s="17" t="str">
        <x:v>pet_template</x:v>
      </x:c>
      <x:c r="F5" s="16" t="n">
        <x:v>60</x:v>
      </x:c>
      <x:c r="G5" s="17" t="str">
        <x:v>{"mp":0,"physical_attack_min":10,"physical_attack_max":20,"physical_defence_min":10,"physical_defence_max":10,"magic_defence":10,"accuracy":15,"agility":20,"undead":true,"can_push":true}</x:v>
      </x:c>
      <x:c r="H5" s="16" t="n">
        <x:v>1000</x:v>
      </x:c>
      <x:c r="I5" s="16" t="n">
        <x:v>1000</x:v>
      </x:c>
      <x:c r="J5" s="17" t="str">
        <x:v>development_range_minus_defence</x:v>
      </x:c>
      <x:c r="K5" s="16"/>
      <x:c r="L5" s="16"/>
      <x:c r="M5" s="16" t="n">
        <x:v>1</x:v>
      </x:c>
      <x:c r="N5" s="16"/>
      <x:c r="O5" s="17" t="str">
        <x:v>pet_skeleton</x:v>
      </x:c>
      <x:c r="P5" s="17" t="str">
        <x:v>candidate</x:v>
      </x:c>
      <x:c r="Q5" s="18" t="str">
        <x:v>资料参考/myf/Mud2/DB/ApexM2_Monster.csv:381；client/assets/resources/development/manifest.json；资料参考/crystal/Server/MirDatabase/MonsterInfo.cs:39；资料参考/crystal/Server/MirObjects/MonsterObject.cs:1035-1093</x:v>
      </x:c>
      <x:c r="R5" s="18" t="str">
        <x:v>仅显式development配置使用的跨来源候选；未通过目标1.80行为/数值/真机验收，不进入正式发布。 本轮Undead仅按原CSV字段显式投影，不能凭名称推断。；CanPush采用Crystal MonsterInfo默认true作为当前形象开发候选，并非MYF实库已认证；宠物从其monster_template_id同一怪物attributes引用，不另维护。</x:v>
      </x:c>
    </x:row>
    <x:row r="6" ht="15" hidden="0" customHeight="1">
      <x:c r="A6" s="19"/>
      <x:c r="B6" s="17"/>
      <x:c r="C6" s="17"/>
      <x:c r="D6" s="16"/>
      <x:c r="E6" s="17"/>
      <x:c r="F6" s="16"/>
      <x:c r="G6" s="17"/>
      <x:c r="H6" s="16"/>
      <x:c r="I6" s="16"/>
      <x:c r="J6" s="17"/>
      <x:c r="K6" s="16"/>
      <x:c r="L6" s="16"/>
      <x:c r="M6" s="16"/>
      <x:c r="N6" s="16"/>
      <x:c r="O6" s="17"/>
      <x:c r="P6" s="17"/>
      <x:c r="Q6" s="18"/>
      <x:c r="R6" s="18"/>
    </x:row>
    <x:row r="7" ht="15" hidden="0" customHeight="1">
      <x:c r="A7" s="19"/>
      <x:c r="B7" s="17"/>
      <x:c r="C7" s="17"/>
      <x:c r="D7" s="16"/>
      <x:c r="E7" s="17"/>
      <x:c r="F7" s="16"/>
      <x:c r="G7" s="17"/>
      <x:c r="H7" s="16"/>
      <x:c r="I7" s="16"/>
      <x:c r="J7" s="17"/>
      <x:c r="K7" s="16"/>
      <x:c r="L7" s="16"/>
      <x:c r="M7" s="16"/>
      <x:c r="N7" s="16"/>
      <x:c r="O7" s="17"/>
      <x:c r="P7" s="17"/>
      <x:c r="Q7" s="18"/>
      <x:c r="R7" s="18"/>
    </x:row>
    <x:row r="8" ht="15" hidden="0" customHeight="1">
      <x:c r="A8" s="19"/>
      <x:c r="B8" s="17"/>
      <x:c r="C8" s="17"/>
      <x:c r="D8" s="16"/>
      <x:c r="E8" s="17"/>
      <x:c r="F8" s="16"/>
      <x:c r="G8" s="17"/>
      <x:c r="H8" s="16"/>
      <x:c r="I8" s="16"/>
      <x:c r="J8" s="17"/>
      <x:c r="K8" s="16"/>
      <x:c r="L8" s="16"/>
      <x:c r="M8" s="16"/>
      <x:c r="N8" s="16"/>
      <x:c r="O8" s="17"/>
      <x:c r="P8" s="17"/>
      <x:c r="Q8" s="18"/>
      <x:c r="R8" s="18"/>
    </x:row>
    <x:row r="9" ht="15" hidden="0" customHeight="1">
      <x:c r="A9" s="19"/>
      <x:c r="B9" s="17"/>
      <x:c r="C9" s="17"/>
      <x:c r="D9" s="16"/>
      <x:c r="E9" s="17"/>
      <x:c r="F9" s="16"/>
      <x:c r="G9" s="17"/>
      <x:c r="H9" s="16"/>
      <x:c r="I9" s="16"/>
      <x:c r="J9" s="17"/>
      <x:c r="K9" s="16"/>
      <x:c r="L9" s="16"/>
      <x:c r="M9" s="16"/>
      <x:c r="N9" s="16"/>
      <x:c r="O9" s="17"/>
      <x:c r="P9" s="17"/>
      <x:c r="Q9" s="18"/>
      <x:c r="R9" s="18"/>
    </x:row>
  </x:sheetData>
  <x:conditionalFormatting sqref="A4:A1003">
    <x:cfRule type="expression" dxfId="416" priority="1">
      <x:formula>AND($A4&lt;&gt;"",ISBLANK(A4))</x:formula>
    </x:cfRule>
  </x:conditionalFormatting>
  <x:conditionalFormatting sqref="B4:B1003">
    <x:cfRule type="expression" dxfId="417" priority="2">
      <x:formula>AND($A4&lt;&gt;"",ISBLANK(B4))</x:formula>
    </x:cfRule>
  </x:conditionalFormatting>
  <x:conditionalFormatting sqref="C4:C1003">
    <x:cfRule type="expression" dxfId="418" priority="3">
      <x:formula>AND($A4&lt;&gt;"",ISBLANK(C4))</x:formula>
    </x:cfRule>
  </x:conditionalFormatting>
  <x:conditionalFormatting sqref="D4:D1003">
    <x:cfRule type="expression" dxfId="419" priority="4">
      <x:formula>AND($A4&lt;&gt;"",ISBLANK(D4))</x:formula>
    </x:cfRule>
  </x:conditionalFormatting>
  <x:conditionalFormatting sqref="E4:E1003">
    <x:cfRule type="expression" dxfId="420" priority="5">
      <x:formula>AND($A4&lt;&gt;"",ISBLANK(E4))</x:formula>
    </x:cfRule>
  </x:conditionalFormatting>
  <x:conditionalFormatting sqref="F4:F1003">
    <x:cfRule type="expression" dxfId="421" priority="6">
      <x:formula>AND($A4&lt;&gt;"",ISBLANK(F4))</x:formula>
    </x:cfRule>
  </x:conditionalFormatting>
  <x:conditionalFormatting sqref="G4:G1003">
    <x:cfRule type="expression" dxfId="422" priority="7">
      <x:formula>AND($A4&lt;&gt;"",ISBLANK(G4))</x:formula>
    </x:cfRule>
  </x:conditionalFormatting>
  <x:conditionalFormatting sqref="H4:H1003">
    <x:cfRule type="expression" dxfId="423" priority="8">
      <x:formula>AND($A4&lt;&gt;"",ISBLANK(H4))</x:formula>
    </x:cfRule>
  </x:conditionalFormatting>
  <x:conditionalFormatting sqref="I4:I1003">
    <x:cfRule type="expression" dxfId="424" priority="9">
      <x:formula>AND($A4&lt;&gt;"",ISBLANK(I4))</x:formula>
    </x:cfRule>
  </x:conditionalFormatting>
  <x:conditionalFormatting sqref="J4:J1003">
    <x:cfRule type="expression" dxfId="425" priority="10">
      <x:formula>AND($A4&lt;&gt;"",ISBLANK(J4))</x:formula>
    </x:cfRule>
  </x:conditionalFormatting>
  <x:conditionalFormatting sqref="K4:K1003">
    <x:cfRule type="expression" dxfId="426" priority="11">
      <x:formula>AND($A4&lt;&gt;"",ISBLANK(K4))</x:formula>
    </x:cfRule>
  </x:conditionalFormatting>
  <x:conditionalFormatting sqref="L4:L1003">
    <x:cfRule type="expression" dxfId="427" priority="12">
      <x:formula>AND($A4&lt;&gt;"",ISBLANK(L4))</x:formula>
    </x:cfRule>
  </x:conditionalFormatting>
  <x:conditionalFormatting sqref="M4:M1003">
    <x:cfRule type="expression" dxfId="428" priority="13">
      <x:formula>AND($A4&lt;&gt;"",ISBLANK(M4))</x:formula>
    </x:cfRule>
  </x:conditionalFormatting>
  <x:conditionalFormatting sqref="N4:N1003">
    <x:cfRule type="expression" dxfId="429" priority="14">
      <x:formula>AND($A4&lt;&gt;"",ISBLANK(N4))</x:formula>
    </x:cfRule>
  </x:conditionalFormatting>
  <x:conditionalFormatting sqref="O4:O1003">
    <x:cfRule type="expression" dxfId="430" priority="15">
      <x:formula>AND($A4&lt;&gt;"",ISBLANK(O4))</x:formula>
    </x:cfRule>
  </x:conditionalFormatting>
  <x:conditionalFormatting sqref="P4:P1003">
    <x:cfRule type="containsText" dxfId="431" priority="16" operator="containsText" text="candidate"/>
    <x:cfRule type="containsText" dxfId="432" priority="17" operator="containsText" text="unverified"/>
    <x:cfRule type="containsText" dxfId="433" priority="18" operator="containsText" text="historical"/>
  </x:conditionalFormatting>
  <x:dataValidations count="1">
    <x:dataValidation type="list" sqref="P4:P1003">
      <x:formula1>"confirmed,candidate,unverified,historical"</x:formula1>
    </x:dataValidation>
  </x:dataValidation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54" hidden="0" customWidth="1"/>
    <x:col min="10" max="10" width="19" hidden="0" customWidth="1"/>
    <x:col min="11" max="11" width="18" hidden="0" customWidth="1"/>
    <x:col min="12" max="12" width="18" hidden="0" customWidth="1"/>
    <x:col min="13" max="13" width="48" hidden="0" customWidth="1"/>
    <x:col min="14" max="14" width="70" hidden="0" customWidth="1"/>
    <x:col min="15" max="15" width="60" hidden="0" customWidth="1"/>
    <x:col min="16" max="16" width="60" hidden="0" customWidth="1"/>
  </x:cols>
  <x:sheetData>
    <x:row r="1" ht="30" customHeight="1">
      <x:c r="A1" s="7" t="str">
        <x:v>配置编号</x:v>
      </x:c>
      <x:c r="B1" s="7" t="str">
        <x:v>地图键</x:v>
      </x:c>
      <x:c r="C1" s="7" t="str">
        <x:v>名称</x:v>
      </x:c>
      <x:c r="D1" s="7" t="str">
        <x:v>场景类型</x:v>
      </x:c>
      <x:c r="E1" s="7" t="str">
        <x:v>逻辑宽</x:v>
      </x:c>
      <x:c r="F1" s="7" t="str">
        <x:v>逻辑高</x:v>
      </x:c>
      <x:c r="G1" s="7" t="str">
        <x:v>进入等级</x:v>
      </x:c>
      <x:c r="H1" s="7" t="str">
        <x:v>碰撞数据引用</x:v>
      </x:c>
      <x:c r="I1" s="7" t="str">
        <x:v>出生格</x:v>
      </x:c>
      <x:c r="J1" s="7" t="str">
        <x:v>瓦片与地图资源键</x:v>
      </x:c>
      <x:c r="K1" s="7" t="str">
        <x:v>地图版本</x:v>
      </x:c>
      <x:c r="L1" s="7" t="str">
        <x:v>参数状态</x:v>
      </x:c>
      <x:c r="M1" s="7" t="str">
        <x:v>来源章节与行号</x:v>
      </x:c>
      <x:c r="N1" s="7" t="str">
        <x:v>说明</x:v>
      </x:c>
      <x:c r="O1" s="7" t="str">
        <x:v>地图投影与土层</x:v>
      </x:c>
      <x:c r="P1" s="7" t="str">
        <x:v>场边小型装饰</x:v>
      </x:c>
    </x:row>
    <x:row r="2" ht="30" customHeight="1">
      <x:c r="A2" s="12" t="str">
        <x:v>id</x:v>
      </x:c>
      <x:c r="B2" s="12" t="str">
        <x:v>map_key</x:v>
      </x:c>
      <x:c r="C2" s="12" t="str">
        <x:v>display_name</x:v>
      </x:c>
      <x:c r="D2" s="12" t="str">
        <x:v>scene_kind</x:v>
      </x:c>
      <x:c r="E2" s="12" t="str">
        <x:v>width_cells</x:v>
      </x:c>
      <x:c r="F2" s="12" t="str">
        <x:v>height_cells</x:v>
      </x:c>
      <x:c r="G2" s="12" t="str">
        <x:v>required_level</x:v>
      </x:c>
      <x:c r="H2" s="12" t="str">
        <x:v>collision_id</x:v>
      </x:c>
      <x:c r="I2" s="12" t="str">
        <x:v>spawn_cell</x:v>
      </x:c>
      <x:c r="J2" s="12" t="str">
        <x:v>tile_resource_key</x:v>
      </x:c>
      <x:c r="K2" s="12" t="str">
        <x:v>map_version</x:v>
      </x:c>
      <x:c r="L2" s="12" t="str">
        <x:v>record_status</x:v>
      </x:c>
      <x:c r="M2" s="12" t="str">
        <x:v>source_ref</x:v>
      </x:c>
      <x:c r="N2" s="12" t="str">
        <x:v>note</x:v>
      </x:c>
      <x:c r="O2" s="12" t="str">
        <x:v>visual_geometry</x:v>
      </x:c>
      <x:c r="P2" s="12" t="str">
        <x:v>decorations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int / 必填 / 格 / both</x:v>
      </x:c>
      <x:c r="F3" s="15" t="str">
        <x:v>int / 必填 / 格 / both</x:v>
      </x:c>
      <x:c r="G3" s="15" t="str">
        <x:v>int / 必填 / both</x:v>
      </x:c>
      <x:c r="H3" s="15" t="str">
        <x:v>int / 必填 / both</x:v>
      </x:c>
      <x:c r="I3" s="15" t="str">
        <x:v>json / 必填 / both</x:v>
      </x:c>
      <x:c r="J3" s="15" t="str">
        <x:v>string / 必填 / both</x:v>
      </x:c>
      <x:c r="K3" s="15" t="str">
        <x:v>string / 必填 / both</x:v>
      </x:c>
      <x:c r="L3" s="15" t="str">
        <x:v>string / 必填 / none</x:v>
      </x:c>
      <x:c r="M3" s="15" t="str">
        <x:v>string / 必填 / none</x:v>
      </x:c>
      <x:c r="N3" s="15" t="str">
        <x:v>string / 可空 / none</x:v>
      </x:c>
      <x:c r="O3" s="15" t="str">
        <x:v>json / 必填 / client</x:v>
      </x:c>
      <x:c r="P3" s="15" t="str">
        <x:v>json / 必填 / client</x:v>
      </x:c>
    </x:row>
    <x:row r="4" ht="196" hidden="0" customHeight="1">
      <x:c r="A4" s="19" t="n">
        <x:v>1</x:v>
      </x:c>
      <x:c r="B4" s="17" t="str">
        <x:v>dev_map0_crop128_128</x:v>
      </x:c>
      <x:c r="C4" s="17" t="str">
        <x:v>林间战场</x:v>
      </x:c>
      <x:c r="D4" s="17" t="str">
        <x:v>ordinary</x:v>
      </x:c>
      <x:c r="E4" s="16" t="n">
        <x:v>17</x:v>
      </x:c>
      <x:c r="F4" s="16" t="n">
        <x:v>17</x:v>
      </x:c>
      <x:c r="G4" s="16" t="n">
        <x:v>1</x:v>
      </x:c>
      <x:c r="H4" s="16" t="n">
        <x:v>1</x:v>
      </x:c>
      <x:c r="I4" s="17" t="str">
        <x:v>{"x":8,"y":8}</x:v>
      </x:c>
      <x:c r="J4" s="17" t="str">
        <x:v>development/maps/first-map</x:v>
      </x:c>
      <x:c r="K4" s="17" t="str">
        <x:v>development-isometric17-open-v2</x:v>
      </x:c>
      <x:c r="L4" s="17" t="str">
        <x:v>candidate</x:v>
      </x:c>
      <x:c r="M4" s="18" t="str">
        <x:v>用户2026-10-27新要求：中央无大型遮挡物，四周少量小型代表性设施与装饰；原0.map只提供地板来源，原树阻挡不继续沿用；docs/17x17菱形地图实施边界.md</x:v>
      </x:c>
      <x:c r="N4" s="18" t="str">
        <x:v>17×17及菱形/土层保持；用户最新要求无大型遮挡，场边4件原尺寸独立小物。decorations只通过collision_cell_index引用唯一碰撞位置，不维护第二份摆放坐标。木制设施外观似井台，不认证原游戏正式名称；火盆本轮静态原帧。</x:v>
      </x:c>
      <x:c r="O4" s="17" t="str">
        <x:v>{"projection":"isometric_diamond","tile_width":64,"tile_height":32,"soil_thickness_px":48,"source_origin":{"x":128,"y":128}}</x:v>
      </x:c>
      <x:c r="P4" s="17" t="str">
        <x:v>[{"id":"edge_wood_fixture","frame":"Objects:9760","collision_cell_index":0},{"id":"edge_brazier","frame":"Objects:1127","collision_cell_index":1},{"id":"edge_sign","frame":"Objects:8898","collision_cell_index":2},{"id":"edge_grass_rock","frame":"Objects:7092","collision_cell_index":3}]</x:v>
      </x:c>
    </x:row>
    <x:row r="5" ht="196" hidden="0" customHeight="1">
      <x:c r="A5" s="19">
        <x:v>2</x:v>
      </x:c>
      <x:c r="B5" s="17" t="inlineStr">
        <x:is>
          <x:t xml:space="preserve">myf_source_map0_town</x:t>
        </x:is>
      </x:c>
      <x:c r="C5" s="17" t="inlineStr">
        <x:is>
          <x:t xml:space="preserve">比奇省</x:t>
        </x:is>
      </x:c>
      <x:c r="D5" s="17" t="inlineStr">
        <x:is>
          <x:t xml:space="preserve">town</x:t>
        </x:is>
      </x:c>
      <x:c r="E5" s="16">
        <x:v>700</x:v>
      </x:c>
      <x:c r="F5" s="16">
        <x:v>700</x:v>
      </x:c>
      <x:c r="G5" s="16">
        <x:v>1</x:v>
      </x:c>
      <x:c r="H5" s="16">
        <x:v>2</x:v>
      </x:c>
      <x:c r="I5" s="17" t="inlineStr">
        <x:is>
          <x:t xml:space="preserve">{"x":633,"y":613}</x:t>
        </x:is>
      </x:c>
      <x:c r="J5" s="17" t="inlineStr">
        <x:is>
          <x:t xml:space="preserve">source-maps/map-2/manifest</x:t>
        </x:is>
      </x:c>
      <x:c r="K5" s="17" t="inlineStr">
        <x:is>
          <x:t xml:space="preserve">myf-map0-2780766485d1-v1</x:t>
        </x:is>
      </x:c>
      <x:c r="L5" s="17" t="inlineStr">
        <x:is>
          <x:t xml:space="preserve">candidate</x:t>
        </x:is>
      </x:c>
      <x:c r="M5" s="18" t="inlineStr">
        <x:is>
          <x:t xml:space="preserve">用户明确先接来源城镇及安全区；docs/来源城镇地图与安全区实施边界.md；资料索引/来源城镇地图补充.json；MYF MapInfo.txt L5与StartPoint.txt原字节副本；跨来源开发候选，非目标1.80认证；MiniMap.txt:98图号101与mmap原帧100视觉候选对齐，原引擎编号基址未认证</x:t>
        </x:is>
      </x:c>
      <x:c r="N5" s="18" t="inlineStr">
        <x:is>
          <x:t xml:space="preserve">完整700×700来源地图，源坐标不裁剪；银杏/边界/比奇同属地图0。入口633,613仅取来源银杏传送坐标，不认证新生点。非战斗城镇原生48×32，与个人17×17菱形地图分开；门关闭候选，室内/NPC/实际切图业务另验收。</x:t>
        </x:is>
      </x:c>
      <x:c r="O5" s="17" t="inlineStr">
        <x:is>
          <x:t xml:space="preserve">{"projection":"source_rectangular","tile_width":48,"tile_height":32,"soil_thickness_px":0,"source_origin":{"x":0,"y":0},"chunk_size_cells":16,"source_map_code":"0","minimap":{"package":"mmap","raw_frame":100}}</x:t>
        </x:is>
      </x:c>
      <x:c r="P5" s="17" t="inlineStr">
        <x:is>
          <x:t xml:space="preserve">[]</x:t>
        </x:is>
      </x:c>
    </x:row>
    <x:row r="6" ht="15" hidden="0" customHeight="1">
      <x:c r="A6" s="19"/>
      <x:c r="B6" s="17"/>
      <x:c r="C6" s="17"/>
      <x:c r="D6" s="17"/>
      <x:c r="E6" s="16"/>
      <x:c r="F6" s="16"/>
      <x:c r="G6" s="16"/>
      <x:c r="H6" s="16"/>
      <x:c r="I6" s="17"/>
      <x:c r="J6" s="17"/>
      <x:c r="K6" s="17"/>
      <x:c r="L6" s="17"/>
      <x:c r="M6" s="18"/>
      <x:c r="N6" s="18"/>
    </x:row>
    <x:row r="7" ht="15" hidden="0" customHeight="1">
      <x:c r="A7" s="19"/>
      <x:c r="B7" s="17"/>
      <x:c r="C7" s="17"/>
      <x:c r="D7" s="17"/>
      <x:c r="E7" s="16"/>
      <x:c r="F7" s="16"/>
      <x:c r="G7" s="16"/>
      <x:c r="H7" s="16"/>
      <x:c r="I7" s="17"/>
      <x:c r="J7" s="17"/>
      <x:c r="K7" s="17"/>
      <x:c r="L7" s="17"/>
      <x:c r="M7" s="18"/>
      <x:c r="N7" s="18"/>
    </x:row>
    <x:row r="8" ht="15" hidden="0" customHeight="1">
      <x:c r="A8" s="19"/>
      <x:c r="B8" s="17"/>
      <x:c r="C8" s="17"/>
      <x:c r="D8" s="17"/>
      <x:c r="E8" s="16"/>
      <x:c r="F8" s="16"/>
      <x:c r="G8" s="16"/>
      <x:c r="H8" s="16"/>
      <x:c r="I8" s="17"/>
      <x:c r="J8" s="17"/>
      <x:c r="K8" s="17"/>
      <x:c r="L8" s="17"/>
      <x:c r="M8" s="18"/>
      <x:c r="N8" s="18"/>
    </x:row>
    <x:row r="9" ht="15" hidden="0" customHeight="1">
      <x:c r="A9" s="19"/>
      <x:c r="B9" s="17"/>
      <x:c r="C9" s="17"/>
      <x:c r="D9" s="17"/>
      <x:c r="E9" s="16"/>
      <x:c r="F9" s="16"/>
      <x:c r="G9" s="16"/>
      <x:c r="H9" s="16"/>
      <x:c r="I9" s="17"/>
      <x:c r="J9" s="17"/>
      <x:c r="K9" s="17"/>
      <x:c r="L9" s="17"/>
      <x:c r="M9" s="18"/>
      <x:c r="N9" s="18"/>
    </x:row>
  </x:sheetData>
  <x:conditionalFormatting sqref="A4:A1003">
    <x:cfRule type="expression" dxfId="434" priority="1">
      <x:formula>AND($A4&lt;&gt;"",ISBLANK(A4))</x:formula>
    </x:cfRule>
  </x:conditionalFormatting>
  <x:conditionalFormatting sqref="B4:B1003">
    <x:cfRule type="expression" dxfId="435" priority="2">
      <x:formula>AND($A4&lt;&gt;"",ISBLANK(B4))</x:formula>
    </x:cfRule>
  </x:conditionalFormatting>
  <x:conditionalFormatting sqref="C4:C1003">
    <x:cfRule type="expression" dxfId="436" priority="3">
      <x:formula>AND($A4&lt;&gt;"",ISBLANK(C4))</x:formula>
    </x:cfRule>
  </x:conditionalFormatting>
  <x:conditionalFormatting sqref="D4:D1003">
    <x:cfRule type="expression" dxfId="437" priority="4">
      <x:formula>AND($A4&lt;&gt;"",ISBLANK(D4))</x:formula>
    </x:cfRule>
  </x:conditionalFormatting>
  <x:conditionalFormatting sqref="E4:E1003">
    <x:cfRule type="expression" dxfId="438" priority="5">
      <x:formula>AND($A4&lt;&gt;"",ISBLANK(E4))</x:formula>
    </x:cfRule>
  </x:conditionalFormatting>
  <x:conditionalFormatting sqref="F4:F1003">
    <x:cfRule type="expression" dxfId="439" priority="6">
      <x:formula>AND($A4&lt;&gt;"",ISBLANK(F4))</x:formula>
    </x:cfRule>
  </x:conditionalFormatting>
  <x:conditionalFormatting sqref="G4:G1003">
    <x:cfRule type="expression" dxfId="440" priority="7">
      <x:formula>AND($A4&lt;&gt;"",ISBLANK(G4))</x:formula>
    </x:cfRule>
  </x:conditionalFormatting>
  <x:conditionalFormatting sqref="H4:H1003">
    <x:cfRule type="expression" dxfId="441" priority="8">
      <x:formula>AND($A4&lt;&gt;"",ISBLANK(H4))</x:formula>
    </x:cfRule>
  </x:conditionalFormatting>
  <x:conditionalFormatting sqref="I4:I1003">
    <x:cfRule type="expression" dxfId="442" priority="9">
      <x:formula>AND($A4&lt;&gt;"",ISBLANK(I4))</x:formula>
    </x:cfRule>
  </x:conditionalFormatting>
  <x:conditionalFormatting sqref="J4:J1003">
    <x:cfRule type="expression" dxfId="443" priority="10">
      <x:formula>AND($A4&lt;&gt;"",ISBLANK(J4))</x:formula>
    </x:cfRule>
  </x:conditionalFormatting>
  <x:conditionalFormatting sqref="K4:K1003">
    <x:cfRule type="expression" dxfId="444" priority="11">
      <x:formula>AND($A4&lt;&gt;"",ISBLANK(K4))</x:formula>
    </x:cfRule>
  </x:conditionalFormatting>
  <x:conditionalFormatting sqref="L4:L1003">
    <x:cfRule type="containsText" dxfId="445" priority="12" operator="containsText" text="candidate"/>
    <x:cfRule type="containsText" dxfId="446" priority="13" operator="containsText" text="unverified"/>
    <x:cfRule type="containsText" dxfId="447" priority="14" operator="containsText" text="historical"/>
  </x:conditionalFormatting>
  <x:dataValidations count="1">
    <x:dataValidation type="list" sqref="L4:L1003">
      <x:formula1>"confirmed,candidate,unverified,historical"</x:formula1>
    </x:dataValidation>
  </x:dataValidation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54" hidden="0" customWidth="1"/>
    <x:col min="6" max="6" width="19" hidden="0" customWidth="1"/>
    <x:col min="7" max="7" width="54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70" hidden="0" customWidth="1"/>
  </x:cols>
  <x:sheetData>
    <x:row r="1" ht="30" customHeight="1">
      <x:c r="A1" s="7" t="str">
        <x:v>配置编号</x:v>
      </x:c>
      <x:c r="B1" s="7" t="str">
        <x:v>地图稳定键</x:v>
      </x:c>
      <x:c r="C1" s="7" t="str">
        <x:v>宽</x:v>
      </x:c>
      <x:c r="D1" s="7" t="str">
        <x:v>高</x:v>
      </x:c>
      <x:c r="E1" s="7" t="str">
        <x:v>阻挡格坐标</x:v>
      </x:c>
      <x:c r="F1" s="7" t="str">
        <x:v>可走数据编码</x:v>
      </x:c>
      <x:c r="G1" s="7" t="str">
        <x:v>客户端必要导航数据</x:v>
      </x:c>
      <x:c r="H1" s="7" t="str">
        <x:v>斜角通行规则</x:v>
      </x:c>
      <x:c r="I1" s="7" t="str">
        <x:v>资源摘要</x:v>
      </x:c>
      <x:c r="J1" s="7" t="str">
        <x:v>参数状态</x:v>
      </x:c>
      <x:c r="K1" s="7" t="str">
        <x:v>来源章节与行号</x:v>
      </x:c>
      <x:c r="L1" s="7" t="str">
        <x:v>说明</x:v>
      </x:c>
    </x:row>
    <x:row r="2" ht="30" customHeight="1">
      <x:c r="A2" s="12" t="str">
        <x:v>id</x:v>
      </x:c>
      <x:c r="B2" s="12" t="str">
        <x:v>map_key</x:v>
      </x:c>
      <x:c r="C2" s="12" t="str">
        <x:v>width_cells</x:v>
      </x:c>
      <x:c r="D2" s="12" t="str">
        <x:v>height_cells</x:v>
      </x:c>
      <x:c r="E2" s="12" t="str">
        <x:v>blocked_cells</x:v>
      </x:c>
      <x:c r="F2" s="12" t="str">
        <x:v>walkable_encoding</x:v>
      </x:c>
      <x:c r="G2" s="12" t="str">
        <x:v>client_navigation</x:v>
      </x:c>
      <x:c r="H2" s="12" t="str">
        <x:v>diagonal_rule</x:v>
      </x:c>
      <x:c r="I2" s="12" t="str">
        <x:v>source_hash</x:v>
      </x:c>
      <x:c r="J2" s="12" t="str">
        <x:v>record_status</x:v>
      </x:c>
      <x:c r="K2" s="12" t="str">
        <x:v>source_ref</x:v>
      </x:c>
      <x:c r="L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int / 必填 / both</x:v>
      </x:c>
      <x:c r="E3" s="15" t="str">
        <x:v>json / 必填 / server</x:v>
      </x:c>
      <x:c r="F3" s="15" t="str">
        <x:v>string / 必填 / both</x:v>
      </x:c>
      <x:c r="G3" s="15" t="str">
        <x:v>json / 可空 / client</x:v>
      </x:c>
      <x:c r="H3" s="15" t="str">
        <x:v>string / 必填 / both</x:v>
      </x:c>
      <x:c r="I3" s="15" t="str">
        <x:v>string / 必填 / none</x:v>
      </x:c>
      <x:c r="J3" s="15" t="str">
        <x:v>string / 必填 / none</x:v>
      </x:c>
      <x:c r="K3" s="15" t="str">
        <x:v>string / 必填 / none</x:v>
      </x:c>
      <x:c r="L3" s="15" t="str">
        <x:v>string / 可空 / none</x:v>
      </x:c>
    </x:row>
    <x:row r="4" ht="112" hidden="0" customHeight="1">
      <x:c r="A4" s="19" t="n">
        <x:v>1</x:v>
      </x:c>
      <x:c r="B4" s="17" t="str">
        <x:v>dev_map0_crop128_128</x:v>
      </x:c>
      <x:c r="C4" s="16" t="n">
        <x:v>17</x:v>
      </x:c>
      <x:c r="D4" s="16" t="n">
        <x:v>17</x:v>
      </x:c>
      <x:c r="E4" s="17" t="str">
        <x:v>[{"x":1,"y":7},{"x":7,"y":1},{"x":15,"y":9},{"x":7,"y":15}]</x:v>
      </x:c>
      <x:c r="F4" s="17" t="str">
        <x:v>blocked_xy_objects</x:v>
      </x:c>
      <x:c r="G4" s="17" t="str">
        <x:v>{"geometry_reference":"game_maps/1.visual_geometry","collision_basis":"authored_edge_decorations"}</x:v>
      </x:c>
      <x:c r="H4" s="17" t="str">
        <x:v>development_no_corner_cutting</x:v>
      </x:c>
      <x:c r="I4" s="17" t="str">
        <x:v>8bc3c4db1edfddb3485084e9ca6ada296ad0d401e7d97f79e04d4585a4de7af6</x:v>
      </x:c>
      <x:c r="J4" s="17" t="str">
        <x:v>candidate</x:v>
      </x:c>
      <x:c r="K4" s="18" t="str">
        <x:v>用户2026-10-27新要求：中央无大型遮挡物，四周少量小型代表性设施与装饰；原0.map只提供地板来源，原树阻挡不继续沿用；docs/17x17菱形地图实施边界.md</x:v>
      </x:c>
      <x:c r="L4" s="18" t="str">
        <x:v>用户审定开阔战场：4格仅对应四周小物；原图289格及原17阻挡作为source_blocked证据保存，runtime blocked明确来自此表，不再宣称直接采用原碰撞位。中央无大树及空气阻挡，285可走格静态连通；原出生不变。</x:v>
      </x:c>
    </x:row>
    <x:row r="5" ht="112" hidden="0" customHeight="1">
      <x:c r="A5" s="19">
        <x:v>2</x:v>
      </x:c>
      <x:c r="B5" s="17" t="inlineStr">
        <x:is>
          <x:t xml:space="preserve">myf_source_map0_town</x:t>
        </x:is>
      </x:c>
      <x:c r="C5" s="16">
        <x:v>700</x:v>
      </x:c>
      <x:c r="D5" s="16">
        <x:v>700</x:v>
      </x:c>
      <x:c r="E5" s="17" t="inlineStr">
        <x:is>
          <x:t xml:space="preserve">{"source_file":"myf:Mir200/Map/0.map","door_policy":"closed"}</x:t>
        </x:is>
      </x:c>
      <x:c r="F5" s="17" t="inlineStr">
        <x:is>
          <x:t xml:space="preserve">source_map_v0_closed_doors</x:t>
        </x:is>
      </x:c>
      <x:c r="G5" s="17" t="inlineStr">
        <x:is>
          <x:t xml:space="preserve">{"geometry_reference":"game_maps/2.visual_geometry","collision_basis":"source_map_closed_doors"}</x:t>
        </x:is>
      </x:c>
      <x:c r="H5" s="17" t="inlineStr">
        <x:is>
          <x:t xml:space="preserve">development_no_corner_cutting</x:t>
        </x:is>
      </x:c>
      <x:c r="I5" s="17" t="inlineStr">
        <x:is>
          <x:t xml:space="preserve">2780766485d1e047dc2e8f03578ee83c6a14fd91597fe4562329cb8f24e1d4ec</x:t>
        </x:is>
      </x:c>
      <x:c r="J5" s="17" t="inlineStr">
        <x:is>
          <x:t xml:space="preserve">candidate</x:t>
        </x:is>
      </x:c>
      <x:c r="K5" s="18" t="inlineStr">
        <x:is>
          <x:t xml:space="preserve">用户明确先接来源城镇及安全区；docs/来源城镇地图与安全区实施边界.md；资料索引/来源城镇地图补充.json；MYF MapInfo.txt L5与StartPoint.txt原字节副本；跨来源开发候选，非目标1.80认证</x:t>
        </x:is>
      </x:c>
      <x:c r="L5" s="18" t="inlineStr">
        <x:is>
          <x:t xml:space="preserve">不可走位由本行唯一原图引用逐格生成，不把490000格复制进Excel文本单元格；静态位/门位/运行OR位分别可核验。关闭门候选不代表门开关与室内已实现；寻路禁止切角沿当前开发适配。</x:t>
        </x:is>
      </x:c>
    </x:row>
    <x:row r="6" ht="15" hidden="0" customHeight="1">
      <x:c r="A6" s="19"/>
      <x:c r="B6" s="17"/>
      <x:c r="C6" s="16"/>
      <x:c r="D6" s="16"/>
      <x:c r="E6" s="17"/>
      <x:c r="F6" s="17"/>
      <x:c r="G6" s="17"/>
      <x:c r="H6" s="17"/>
      <x:c r="I6" s="17"/>
      <x:c r="J6" s="17"/>
      <x:c r="K6" s="18"/>
      <x:c r="L6" s="18"/>
    </x:row>
    <x:row r="7" ht="15" hidden="0" customHeight="1">
      <x:c r="A7" s="19"/>
      <x:c r="B7" s="17"/>
      <x:c r="C7" s="16"/>
      <x:c r="D7" s="16"/>
      <x:c r="E7" s="17"/>
      <x:c r="F7" s="17"/>
      <x:c r="G7" s="17"/>
      <x:c r="H7" s="17"/>
      <x:c r="I7" s="17"/>
      <x:c r="J7" s="17"/>
      <x:c r="K7" s="18"/>
      <x:c r="L7" s="18"/>
    </x:row>
    <x:row r="8" ht="15" hidden="0" customHeight="1">
      <x:c r="A8" s="19"/>
      <x:c r="B8" s="17"/>
      <x:c r="C8" s="16"/>
      <x:c r="D8" s="16"/>
      <x:c r="E8" s="17"/>
      <x:c r="F8" s="17"/>
      <x:c r="G8" s="17"/>
      <x:c r="H8" s="17"/>
      <x:c r="I8" s="17"/>
      <x:c r="J8" s="17"/>
      <x:c r="K8" s="18"/>
      <x:c r="L8" s="18"/>
    </x:row>
    <x:row r="9" ht="15" hidden="0" customHeight="1">
      <x:c r="A9" s="19"/>
      <x:c r="B9" s="17"/>
      <x:c r="C9" s="16"/>
      <x:c r="D9" s="16"/>
      <x:c r="E9" s="17"/>
      <x:c r="F9" s="17"/>
      <x:c r="G9" s="17"/>
      <x:c r="H9" s="17"/>
      <x:c r="I9" s="17"/>
      <x:c r="J9" s="17"/>
      <x:c r="K9" s="18"/>
      <x:c r="L9" s="18"/>
    </x:row>
  </x:sheetData>
  <x:conditionalFormatting sqref="A4:A1003">
    <x:cfRule type="expression" dxfId="448" priority="1">
      <x:formula>AND($A4&lt;&gt;"",ISBLANK(A4))</x:formula>
    </x:cfRule>
  </x:conditionalFormatting>
  <x:conditionalFormatting sqref="B4:B1003">
    <x:cfRule type="expression" dxfId="449" priority="2">
      <x:formula>AND($A4&lt;&gt;"",ISBLANK(B4))</x:formula>
    </x:cfRule>
  </x:conditionalFormatting>
  <x:conditionalFormatting sqref="C4:C1003">
    <x:cfRule type="expression" dxfId="450" priority="3">
      <x:formula>AND($A4&lt;&gt;"",ISBLANK(C4))</x:formula>
    </x:cfRule>
  </x:conditionalFormatting>
  <x:conditionalFormatting sqref="D4:D1003">
    <x:cfRule type="expression" dxfId="451" priority="4">
      <x:formula>AND($A4&lt;&gt;"",ISBLANK(D4))</x:formula>
    </x:cfRule>
  </x:conditionalFormatting>
  <x:conditionalFormatting sqref="E4:E1003">
    <x:cfRule type="expression" dxfId="452" priority="5">
      <x:formula>AND($A4&lt;&gt;"",ISBLANK(E4))</x:formula>
    </x:cfRule>
  </x:conditionalFormatting>
  <x:conditionalFormatting sqref="F4:F1003">
    <x:cfRule type="expression" dxfId="453" priority="6">
      <x:formula>AND($A4&lt;&gt;"",ISBLANK(F4))</x:formula>
    </x:cfRule>
  </x:conditionalFormatting>
  <x:conditionalFormatting sqref="H4:H1003">
    <x:cfRule type="expression" dxfId="454" priority="7">
      <x:formula>AND($A4&lt;&gt;"",ISBLANK(H4))</x:formula>
    </x:cfRule>
  </x:conditionalFormatting>
  <x:conditionalFormatting sqref="I4:I1003">
    <x:cfRule type="expression" dxfId="455" priority="8">
      <x:formula>AND($A4&lt;&gt;"",ISBLANK(I4))</x:formula>
    </x:cfRule>
  </x:conditionalFormatting>
  <x:conditionalFormatting sqref="J4:J1003">
    <x:cfRule type="containsText" dxfId="456" priority="9" operator="containsText" text="candidate"/>
    <x:cfRule type="containsText" dxfId="457" priority="10" operator="containsText" text="unverified"/>
    <x:cfRule type="containsText" dxfId="458" priority="11" operator="containsText" text="historical"/>
  </x:conditionalFormatting>
  <x:dataValidations count="1">
    <x:dataValidation type="list" sqref="J4:J1003">
      <x:formula1>"confirmed,candidate,unverified,historical"</x:formula1>
    </x:dataValidation>
  </x:dataValidation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18" hidden="0" customWidth="1"/>
    <x:col min="6" max="6" width="54" hidden="0" customWidth="1"/>
    <x:col min="7" max="7" width="54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地图ID</x:v>
      </x:c>
      <x:c r="C1" s="7" t="str">
        <x:v>区域键</x:v>
      </x:c>
      <x:c r="D1" s="7" t="str">
        <x:v>区域格集</x:v>
      </x:c>
      <x:c r="E1" s="7" t="str">
        <x:v>NPC引用</x:v>
      </x:c>
      <x:c r="F1" s="7" t="str">
        <x:v>怪物及权重</x:v>
      </x:c>
      <x:c r="G1" s="7" t="str">
        <x:v>入口条件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map_id</x:v>
      </x:c>
      <x:c r="C2" s="12" t="str">
        <x:v>region_key</x:v>
      </x:c>
      <x:c r="D2" s="12" t="str">
        <x:v>region_cells</x:v>
      </x:c>
      <x:c r="E2" s="12" t="str">
        <x:v>npc_id</x:v>
      </x:c>
      <x:c r="F2" s="12" t="str">
        <x:v>monster_pool</x:v>
      </x:c>
      <x:c r="G2" s="12" t="str">
        <x:v>entry_rules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string / 必填 / both</x:v>
      </x:c>
      <x:c r="D3" s="15" t="str">
        <x:v>json / 必填 / both</x:v>
      </x:c>
      <x:c r="E3" s="15" t="str">
        <x:v>int / 可空 / both</x:v>
      </x:c>
      <x:c r="F3" s="15" t="str">
        <x:v>json / 必填 / both</x:v>
      </x:c>
      <x:c r="G3" s="15" t="str">
        <x:v>json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26.399999618530273" hidden="0" customHeight="1">
      <x:c r="A4" s="19" t="n">
        <x:v>1</x:v>
      </x:c>
      <x:c r="B4" s="16" t="n">
        <x:v>1</x:v>
      </x:c>
      <x:c r="C4" s="17" t="str">
        <x:v>development_combat</x:v>
      </x:c>
      <x:c r="D4" s="17" t="str">
        <x:v>{"min_x":0,"min_y":0,"max_x":15,"max_y":15}</x:v>
      </x:c>
      <x:c r="E4" s="16"/>
      <x:c r="F4" s="17" t="str">
        <x:v>[{"monster_id":1,"slots":8}]</x:v>
      </x:c>
      <x:c r="G4" s="17" t="str">
        <x:v>{"development_only":true}</x:v>
      </x:c>
      <x:c r="H4" s="17" t="str">
        <x:v>candidate</x:v>
      </x:c>
      <x:c r="I4" s="18" t="str">
        <x:v>client/assets/resources/development/maps/first-map.json；传奇1.80客户端/Map/0.map裁剪原格</x:v>
      </x:c>
      <x:c r="J4" s="18" t="str">
        <x:v>仅显式development配置使用的跨来源候选；未通过目标1.80行为/数值/真机验收，不进入正式发布。</x:v>
      </x:c>
    </x:row>
    <x:row r="5" ht="26.399999618530273" hidden="0" customHeight="1">
      <x:c r="A5" s="19">
        <x:v>106</x:v>
      </x:c>
      <x:c r="B5" s="16">
        <x:v>2</x:v>
      </x:c>
      <x:c r="C5" s="17" t="inlineStr">
        <x:is>
          <x:t xml:space="preserve">source_map0_safe_zone_line6</x:t>
        </x:is>
      </x:c>
      <x:c r="D5" s="17" t="inlineStr">
        <x:is>
          <x:t xml:space="preserve">{"min_x":642,"min_y":623,"max_x":658,"max_y":639}</x:t>
        </x:is>
      </x:c>
      <x:c r="E5" s="16"/>
      <x:c r="F5" s="17" t="inlineStr">
        <x:is>
          <x:t xml:space="preserve">[]</x:t>
        </x:is>
      </x:c>
      <x:c r="G5" s="17" t="inlineStr">
        <x:is>
          <x:t xml:space="preserve">{"region_kind":"safe_zone","center":{"x":650,"y":631},"radius":8,"geometry":"chebyshev_inclusive","source_order":6,"initial_binding_status":"unverified"}</x:t>
        </x:is>
      </x:c>
      <x:c r="H5" s="17" t="inlineStr">
        <x:is>
          <x:t xml:space="preserve">candidate</x:t>
        </x:is>
      </x:c>
      <x:c r="I5" s="18" t="inlineStr">
        <x:is>
          <x:t xml:space="preserve">用户明确先接来源城镇及安全区；docs/来源城镇地图与安全区实施边界.md；资料索引/来源城镇地图补充.json；MYF MapInfo.txt L5与StartPoint.txt原字节副本；跨来源开发候选，非目标1.80认证；StartPoint.txt:6</x:t>
        </x:is>
      </x:c>
      <x:c r="J5" s="18" t="inlineStr">
        <x:is>
          <x:t xml:space="preserve">来源记录顺序/重复行保留；仅安全区方形几何候选，不认证MYF新生池或重复行权重，不开启绑定/瞬移、PK、NPC或来源收费。</x:t>
        </x:is>
      </x:c>
    </x:row>
    <x:row r="6" ht="15" hidden="0" customHeight="1">
      <x:c r="A6" s="19">
        <x:v>107</x:v>
      </x:c>
      <x:c r="B6" s="16">
        <x:v>2</x:v>
      </x:c>
      <x:c r="C6" s="17" t="inlineStr">
        <x:is>
          <x:t xml:space="preserve">source_map0_safe_zone_line7</x:t>
        </x:is>
      </x:c>
      <x:c r="D6" s="17" t="inlineStr">
        <x:is>
          <x:t xml:space="preserve">{"min_x":642,"min_y":623,"max_x":658,"max_y":639}</x:t>
        </x:is>
      </x:c>
      <x:c r="E6" s="16"/>
      <x:c r="F6" s="17" t="inlineStr">
        <x:is>
          <x:t xml:space="preserve">[]</x:t>
        </x:is>
      </x:c>
      <x:c r="G6" s="17" t="inlineStr">
        <x:is>
          <x:t xml:space="preserve">{"region_kind":"safe_zone","center":{"x":650,"y":631},"radius":8,"geometry":"chebyshev_inclusive","source_order":7,"initial_binding_status":"unverified"}</x:t>
        </x:is>
      </x:c>
      <x:c r="H6" s="17" t="inlineStr">
        <x:is>
          <x:t xml:space="preserve">candidate</x:t>
        </x:is>
      </x:c>
      <x:c r="I6" s="18" t="inlineStr">
        <x:is>
          <x:t xml:space="preserve">用户明确先接来源城镇及安全区；docs/来源城镇地图与安全区实施边界.md；资料索引/来源城镇地图补充.json；MYF MapInfo.txt L5与StartPoint.txt原字节副本；跨来源开发候选，非目标1.80认证；StartPoint.txt:7</x:t>
        </x:is>
      </x:c>
      <x:c r="J6" s="18" t="inlineStr">
        <x:is>
          <x:t xml:space="preserve">来源记录顺序/重复行保留；仅安全区方形几何候选，不认证MYF新生池或重复行权重，不开启绑定/瞬移、PK、NPC或来源收费。</x:t>
        </x:is>
      </x:c>
    </x:row>
    <x:row r="7" ht="15" hidden="0" customHeight="1">
      <x:c r="A7" s="19">
        <x:v>108</x:v>
      </x:c>
      <x:c r="B7" s="16">
        <x:v>2</x:v>
      </x:c>
      <x:c r="C7" s="17" t="inlineStr">
        <x:is>
          <x:t xml:space="preserve">source_map0_safe_zone_line8</x:t>
        </x:is>
      </x:c>
      <x:c r="D7" s="17" t="inlineStr">
        <x:is>
          <x:t xml:space="preserve">{"min_x":642,"min_y":623,"max_x":658,"max_y":639}</x:t>
        </x:is>
      </x:c>
      <x:c r="E7" s="16"/>
      <x:c r="F7" s="17" t="inlineStr">
        <x:is>
          <x:t xml:space="preserve">[]</x:t>
        </x:is>
      </x:c>
      <x:c r="G7" s="17" t="inlineStr">
        <x:is>
          <x:t xml:space="preserve">{"region_kind":"safe_zone","center":{"x":650,"y":631},"radius":8,"geometry":"chebyshev_inclusive","source_order":8,"initial_binding_status":"unverified"}</x:t>
        </x:is>
      </x:c>
      <x:c r="H7" s="17" t="inlineStr">
        <x:is>
          <x:t xml:space="preserve">candidate</x:t>
        </x:is>
      </x:c>
      <x:c r="I7" s="18" t="inlineStr">
        <x:is>
          <x:t xml:space="preserve">用户明确先接来源城镇及安全区；docs/来源城镇地图与安全区实施边界.md；资料索引/来源城镇地图补充.json；MYF MapInfo.txt L5与StartPoint.txt原字节副本；跨来源开发候选，非目标1.80认证；StartPoint.txt:8</x:t>
        </x:is>
      </x:c>
      <x:c r="J7" s="18" t="inlineStr">
        <x:is>
          <x:t xml:space="preserve">来源记录顺序/重复行保留；仅安全区方形几何候选，不认证MYF新生池或重复行权重，不开启绑定/瞬移、PK、NPC或来源收费。</x:t>
        </x:is>
      </x:c>
    </x:row>
    <x:row r="8" ht="15" hidden="0" customHeight="1">
      <x:c r="A8" s="19">
        <x:v>113</x:v>
      </x:c>
      <x:c r="B8" s="16">
        <x:v>2</x:v>
      </x:c>
      <x:c r="C8" s="17" t="inlineStr">
        <x:is>
          <x:t xml:space="preserve">source_map0_safe_zone_line13</x:t>
        </x:is>
      </x:c>
      <x:c r="D8" s="17" t="inlineStr">
        <x:is>
          <x:t xml:space="preserve">{"min_x":281,"min_y":610,"max_x":297,"max_y":626}</x:t>
        </x:is>
      </x:c>
      <x:c r="E8" s="16"/>
      <x:c r="F8" s="17" t="inlineStr">
        <x:is>
          <x:t xml:space="preserve">[]</x:t>
        </x:is>
      </x:c>
      <x:c r="G8" s="17" t="inlineStr">
        <x:is>
          <x:t xml:space="preserve">{"region_kind":"safe_zone","center":{"x":289,"y":618},"radius":8,"geometry":"chebyshev_inclusive","source_order":13,"initial_binding_status":"unverified"}</x:t>
        </x:is>
      </x:c>
      <x:c r="H8" s="17" t="inlineStr">
        <x:is>
          <x:t xml:space="preserve">candidate</x:t>
        </x:is>
      </x:c>
      <x:c r="I8" s="18" t="inlineStr">
        <x:is>
          <x:t xml:space="preserve">用户明确先接来源城镇及安全区；docs/来源城镇地图与安全区实施边界.md；资料索引/来源城镇地图补充.json；MYF MapInfo.txt L5与StartPoint.txt原字节副本；跨来源开发候选，非目标1.80认证；StartPoint.txt:13</x:t>
        </x:is>
      </x:c>
      <x:c r="J8" s="18" t="inlineStr">
        <x:is>
          <x:t xml:space="preserve">来源记录顺序/重复行保留；仅安全区方形几何候选，不认证MYF新生池或重复行权重，不开启绑定/瞬移、PK、NPC或来源收费。</x:t>
        </x:is>
      </x:c>
    </x:row>
    <x:row r="9" ht="15" hidden="0" customHeight="1">
      <x:c r="A9" s="19">
        <x:v>117</x:v>
      </x:c>
      <x:c r="B9" s="16">
        <x:v>2</x:v>
      </x:c>
      <x:c r="C9" s="17" t="inlineStr">
        <x:is>
          <x:t xml:space="preserve">source_map0_safe_zone_line17</x:t>
        </x:is>
      </x:c>
      <x:c r="D9" s="17" t="inlineStr">
        <x:is>
          <x:t xml:space="preserve">{"min_x":321,"min_y":257,"max_x":341,"max_y":277}</x:t>
        </x:is>
      </x:c>
      <x:c r="E9" s="16"/>
      <x:c r="F9" s="17" t="inlineStr">
        <x:is>
          <x:t xml:space="preserve">[]</x:t>
        </x:is>
      </x:c>
      <x:c r="G9" s="17" t="inlineStr">
        <x:is>
          <x:t xml:space="preserve">{"region_kind":"safe_zone","center":{"x":331,"y":267},"radius":10,"geometry":"chebyshev_inclusive","source_order":17,"initial_binding_status":"unverified"}</x:t>
        </x:is>
      </x:c>
      <x:c r="H9" s="17" t="inlineStr">
        <x:is>
          <x:t xml:space="preserve">candidate</x:t>
        </x:is>
      </x:c>
      <x:c r="I9" s="18" t="inlineStr">
        <x:is>
          <x:t xml:space="preserve">用户明确先接来源城镇及安全区；docs/来源城镇地图与安全区实施边界.md；资料索引/来源城镇地图补充.json；MYF MapInfo.txt L5与StartPoint.txt原字节副本；跨来源开发候选，非目标1.80认证；StartPoint.txt:17</x:t>
        </x:is>
      </x:c>
      <x:c r="J9" s="18" t="inlineStr">
        <x:is>
          <x:t xml:space="preserve">来源记录顺序/重复行保留；仅安全区方形几何候选，不认证MYF新生池或重复行权重，不开启绑定/瞬移、PK、NPC或来源收费。</x:t>
        </x:is>
      </x:c>
    </x:row>
    <x:row r="10" ht="15" hidden="0" customHeight="1">
      <x:c r="A10" s="19">
        <x:v>201</x:v>
      </x:c>
      <x:c r="B10" s="16">
        <x:v>1</x:v>
      </x:c>
      <x:c r="C10" s="17" t="inlineStr">
        <x:is>
          <x:t xml:space="preserve">map_1_policy</x:t>
        </x:is>
      </x:c>
      <x:c r="D10" s="17" t="inlineStr">
        <x:is>
          <x:t xml:space="preserve">{"min_x":0,"min_y":0,"max_x":16,"max_y":16}</x:t>
        </x:is>
      </x:c>
      <x:c r="E10" s="16"/>
      <x:c r="F10" s="17" t="inlineStr">
        <x:is>
          <x:t xml:space="preserve">[]</x:t>
        </x:is>
      </x:c>
      <x:c r="G10" s="17" t="inlineStr">
        <x:is>
          <x:t xml:space="preserve">{"region_kind":"map_policy","no_teleport":false,"no_pets":false}</x:t>
        </x:is>
      </x:c>
      <x:c r="H10" s="17" t="inlineStr">
        <x:is>
          <x:t xml:space="preserve">candidate</x:t>
        </x:is>
      </x:c>
      <x:c r="I10" s="18" t="inlineStr">
        <x:is>
          <x:t xml:space="preserve">本作17×17个人图开发候选，rule15显式NoTeleport=false；非来源城镇、新生或复活规则；本任务rule17显式NoPets=false候选，保持当前可携宠地图开发范围；Crystal HumanObject.cs:4401、MonsterObject.cs:1334–1367；不从MYF NOMANNOMON或NoTeleport推定原服NoPets</x:t>
        </x:is>
      </x:c>
      <x:c r="J10" s="18" t="inlineStr">
        <x:is>
          <x:t xml:space="preserve">本map唯一全图政策行；不得作为safe_zone参与绑定首匹配或ZoneSetHash，不配置怪物或NPC。 rule17独立no_pets布尔；不加入安全区或ZoneSetHash，受理与Recall到期时点按各自源规则。</x:t>
        </x:is>
      </x:c>
    </x:row>
    <x:row r="11" ht="15" hidden="0" customHeight="1">
      <x:c r="A11" s="19">
        <x:v>202</x:v>
      </x:c>
      <x:c r="B11" s="16">
        <x:v>2</x:v>
      </x:c>
      <x:c r="C11" s="17" t="inlineStr">
        <x:is>
          <x:t xml:space="preserve">map_2_policy</x:t>
        </x:is>
      </x:c>
      <x:c r="D11" s="17" t="inlineStr">
        <x:is>
          <x:t xml:space="preserve">{"min_x":0,"min_y":0,"max_x":699,"max_y":699}</x:t>
        </x:is>
      </x:c>
      <x:c r="E11" s="16"/>
      <x:c r="F11" s="17" t="inlineStr">
        <x:is>
          <x:t xml:space="preserve">[]</x:t>
        </x:is>
      </x:c>
      <x:c r="G11" s="17" t="inlineStr">
        <x:is>
          <x:t xml:space="preserve">{"region_kind":"map_policy","no_teleport":false,"no_pets":false}</x:t>
        </x:is>
      </x:c>
      <x:c r="H11" s="17" t="inlineStr">
        <x:is>
          <x:t xml:space="preserve">candidate</x:t>
        </x:is>
      </x:c>
      <x:c r="I11" s="18" t="inlineStr">
        <x:is>
          <x:t xml:space="preserve">本任务rule15候选采用Crystal当前源图NoTeleport到期检查；Crystal Server/MirDatabase/MapInfo.cs:24、MirObjects/HumanObject.cs:6096–6100；原MYF Mir200/Envir/MapInfo.txt:5只读白名单为[0\t比奇省] NOMANNOMON，原文件SHA358056b0f13e0c26968b08cbde08d4742137c0453f6d634203b495addf7b6707；跨引擎candidate，不认证标记完全等价；本任务rule17显式NoPets=false候选，保持当前可携宠地图开发范围；Crystal HumanObject.cs:4401、MonsterObject.cs:1334–1367；不从MYF NOMANNOMON或NoTeleport推定原服NoPets</x:t>
        </x:is>
      </x:c>
      <x:c r="J11" s="18" t="inlineStr">
        <x:is>
          <x:t xml:space="preserve">本map唯一全图政策行；不得作为safe_zone参与绑定首匹配或ZoneSetHash，不配置怪物或NPC。 rule17独立no_pets布尔；不加入安全区或ZoneSetHash，受理与Recall到期时点按各自源规则。</x:t>
        </x:is>
      </x:c>
    </x:row>
  </x:sheetData>
  <x:conditionalFormatting sqref="A4:A1003">
    <x:cfRule type="expression" dxfId="459" priority="1">
      <x:formula>AND($A4&lt;&gt;"",ISBLANK(A4))</x:formula>
    </x:cfRule>
  </x:conditionalFormatting>
  <x:conditionalFormatting sqref="B4:B1003">
    <x:cfRule type="expression" dxfId="460" priority="2">
      <x:formula>AND($A4&lt;&gt;"",ISBLANK(B4))</x:formula>
    </x:cfRule>
  </x:conditionalFormatting>
  <x:conditionalFormatting sqref="C4:C1003">
    <x:cfRule type="expression" dxfId="461" priority="3">
      <x:formula>AND($A4&lt;&gt;"",ISBLANK(C4))</x:formula>
    </x:cfRule>
  </x:conditionalFormatting>
  <x:conditionalFormatting sqref="D4:D1003">
    <x:cfRule type="expression" dxfId="462" priority="4">
      <x:formula>AND($A4&lt;&gt;"",ISBLANK(D4))</x:formula>
    </x:cfRule>
  </x:conditionalFormatting>
  <x:conditionalFormatting sqref="F4:F1003">
    <x:cfRule type="expression" dxfId="463" priority="5">
      <x:formula>AND($A4&lt;&gt;"",ISBLANK(F4))</x:formula>
    </x:cfRule>
  </x:conditionalFormatting>
  <x:conditionalFormatting sqref="G4:G1003">
    <x:cfRule type="expression" dxfId="464" priority="6">
      <x:formula>AND($A4&lt;&gt;"",ISBLANK(G4))</x:formula>
    </x:cfRule>
  </x:conditionalFormatting>
  <x:conditionalFormatting sqref="H4:H1003">
    <x:cfRule type="containsText" dxfId="465" priority="7" operator="containsText" text="candidate"/>
    <x:cfRule type="containsText" dxfId="466" priority="8" operator="containsText" text="unverified"/>
    <x:cfRule type="containsText" dxfId="467" priority="9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54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地图ID</x:v>
      </x:c>
      <x:c r="C1" s="7" t="str">
        <x:v>敌方槽</x:v>
      </x:c>
      <x:c r="D1" s="7" t="str">
        <x:v>怪物ID</x:v>
      </x:c>
      <x:c r="E1" s="7" t="str">
        <x:v>生成格</x:v>
      </x:c>
      <x:c r="F1" s="7" t="str">
        <x:v>独立复活秒数</x:v>
      </x:c>
      <x:c r="G1" s="7" t="str">
        <x:v>普通或精英</x:v>
      </x:c>
      <x:c r="H1" s="7" t="str">
        <x:v>减增数量收尾及冷却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map_id</x:v>
      </x:c>
      <x:c r="C2" s="12" t="str">
        <x:v>slot_index</x:v>
      </x:c>
      <x:c r="D2" s="12" t="str">
        <x:v>monster_id</x:v>
      </x:c>
      <x:c r="E2" s="12" t="str">
        <x:v>cell</x:v>
      </x:c>
      <x:c r="F2" s="12" t="str">
        <x:v>respawn_seconds</x:v>
      </x:c>
      <x:c r="G2" s="12" t="str">
        <x:v>spawn_kind</x:v>
      </x:c>
      <x:c r="H2" s="12" t="str">
        <x:v>slot_resize_policy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json / 必填 / both</x:v>
      </x:c>
      <x:c r="F3" s="15" t="str">
        <x:v>int / 必填 / both</x:v>
      </x:c>
      <x:c r="G3" s="15" t="str">
        <x:v>string / 必填 / both</x:v>
      </x:c>
      <x:c r="H3" s="15" t="str">
        <x:v>string / 必填 / server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26.399999618530273" hidden="0" customHeight="1">
      <x:c r="A4" s="19" t="n">
        <x:v>1</x:v>
      </x:c>
      <x:c r="B4" s="16" t="n">
        <x:v>1</x:v>
      </x:c>
      <x:c r="C4" s="16" t="n">
        <x:v>0</x:v>
      </x:c>
      <x:c r="D4" s="16" t="n">
        <x:v>1</x:v>
      </x:c>
      <x:c r="E4" s="17" t="str">
        <x:v>{"x":1,"y":1}</x:v>
      </x:c>
      <x:c r="F4" s="16" t="n">
        <x:v>10</x:v>
      </x:c>
      <x:c r="G4" s="17" t="str">
        <x:v>ordinary</x:v>
      </x:c>
      <x:c r="H4" s="17" t="str">
        <x:v>development_fixed_eight_reachable_slots</x:v>
      </x:c>
      <x:c r="I4" s="17" t="str">
        <x:v>candidate</x:v>
      </x:c>
      <x:c r="J4" s="18" t="str">
        <x:v>用户2026-10-27：17×17菱形2.5D地图与土层厚度；原Map/0.map(128,128)完整289格；docs/17x17菱形地图实施边界.md；最终策划普通怪10秒复活</x:v>
      </x:c>
      <x:c r="K4" s="18" t="str">
        <x:v>仅显式development配置使用的跨来源候选；未通过目标1.80行为/数值/真机验收，不进入正式发布。 原8槽不变，按17×17源格重新核验静态可达。</x:v>
      </x:c>
    </x:row>
    <x:row r="5" ht="26.399999618530273" hidden="0" customHeight="1">
      <x:c r="A5" s="19" t="n">
        <x:v>2</x:v>
      </x:c>
      <x:c r="B5" s="16" t="n">
        <x:v>1</x:v>
      </x:c>
      <x:c r="C5" s="16" t="n">
        <x:v>1</x:v>
      </x:c>
      <x:c r="D5" s="16" t="n">
        <x:v>1</x:v>
      </x:c>
      <x:c r="E5" s="17" t="str">
        <x:v>{"x":1,"y":14}</x:v>
      </x:c>
      <x:c r="F5" s="16" t="n">
        <x:v>10</x:v>
      </x:c>
      <x:c r="G5" s="17" t="str">
        <x:v>ordinary</x:v>
      </x:c>
      <x:c r="H5" s="17" t="str">
        <x:v>development_fixed_eight_reachable_slots</x:v>
      </x:c>
      <x:c r="I5" s="17" t="str">
        <x:v>candidate</x:v>
      </x:c>
      <x:c r="J5" s="18" t="str">
        <x:v>用户2026-10-27：17×17菱形2.5D地图与土层厚度；原Map/0.map(128,128)完整289格；docs/17x17菱形地图实施边界.md；最终策划普通怪10秒复活</x:v>
      </x:c>
      <x:c r="K5" s="18" t="str">
        <x:v>仅显式development配置使用的跨来源候选；未通过目标1.80行为/数值/真机验收，不进入正式发布。 原8槽不变，按17×17源格重新核验静态可达。</x:v>
      </x:c>
    </x:row>
    <x:row r="6" ht="26.399999618530273" hidden="0" customHeight="1">
      <x:c r="A6" s="19" t="n">
        <x:v>3</x:v>
      </x:c>
      <x:c r="B6" s="16" t="n">
        <x:v>1</x:v>
      </x:c>
      <x:c r="C6" s="16" t="n">
        <x:v>2</x:v>
      </x:c>
      <x:c r="D6" s="16" t="n">
        <x:v>1</x:v>
      </x:c>
      <x:c r="E6" s="17" t="str">
        <x:v>{"x":14,"y":1}</x:v>
      </x:c>
      <x:c r="F6" s="16" t="n">
        <x:v>10</x:v>
      </x:c>
      <x:c r="G6" s="17" t="str">
        <x:v>ordinary</x:v>
      </x:c>
      <x:c r="H6" s="17" t="str">
        <x:v>development_fixed_eight_reachable_slots</x:v>
      </x:c>
      <x:c r="I6" s="17" t="str">
        <x:v>candidate</x:v>
      </x:c>
      <x:c r="J6" s="18" t="str">
        <x:v>用户2026-10-27：17×17菱形2.5D地图与土层厚度；原Map/0.map(128,128)完整289格；docs/17x17菱形地图实施边界.md；最终策划普通怪10秒复活</x:v>
      </x:c>
      <x:c r="K6" s="18" t="str">
        <x:v>仅显式development配置使用的跨来源候选；未通过目标1.80行为/数值/真机验收，不进入正式发布。 原8槽不变，按17×17源格重新核验静态可达。</x:v>
      </x:c>
    </x:row>
    <x:row r="7" ht="26.399999618530273" hidden="0" customHeight="1">
      <x:c r="A7" s="19" t="n">
        <x:v>4</x:v>
      </x:c>
      <x:c r="B7" s="16" t="n">
        <x:v>1</x:v>
      </x:c>
      <x:c r="C7" s="16" t="n">
        <x:v>3</x:v>
      </x:c>
      <x:c r="D7" s="16" t="n">
        <x:v>1</x:v>
      </x:c>
      <x:c r="E7" s="17" t="str">
        <x:v>{"x":14,"y":14}</x:v>
      </x:c>
      <x:c r="F7" s="16" t="n">
        <x:v>10</x:v>
      </x:c>
      <x:c r="G7" s="17" t="str">
        <x:v>ordinary</x:v>
      </x:c>
      <x:c r="H7" s="17" t="str">
        <x:v>development_fixed_eight_reachable_slots</x:v>
      </x:c>
      <x:c r="I7" s="17" t="str">
        <x:v>candidate</x:v>
      </x:c>
      <x:c r="J7" s="18" t="str">
        <x:v>用户2026-10-27：17×17菱形2.5D地图与土层厚度；原Map/0.map(128,128)完整289格；docs/17x17菱形地图实施边界.md；最终策划普通怪10秒复活</x:v>
      </x:c>
      <x:c r="K7" s="18" t="str">
        <x:v>仅显式development配置使用的跨来源候选；未通过目标1.80行为/数值/真机验收，不进入正式发布。 原8槽不变，按17×17源格重新核验静态可达。</x:v>
      </x:c>
    </x:row>
    <x:row r="8" ht="26.399999618530273" hidden="0" customHeight="1">
      <x:c r="A8" s="19" t="n">
        <x:v>5</x:v>
      </x:c>
      <x:c r="B8" s="16" t="n">
        <x:v>1</x:v>
      </x:c>
      <x:c r="C8" s="16" t="n">
        <x:v>4</x:v>
      </x:c>
      <x:c r="D8" s="16" t="n">
        <x:v>1</x:v>
      </x:c>
      <x:c r="E8" s="17" t="str">
        <x:v>{"x":1,"y":4}</x:v>
      </x:c>
      <x:c r="F8" s="16" t="n">
        <x:v>10</x:v>
      </x:c>
      <x:c r="G8" s="17" t="str">
        <x:v>ordinary</x:v>
      </x:c>
      <x:c r="H8" s="17" t="str">
        <x:v>development_fixed_eight_reachable_slots</x:v>
      </x:c>
      <x:c r="I8" s="17" t="str">
        <x:v>candidate</x:v>
      </x:c>
      <x:c r="J8" s="18" t="str">
        <x:v>用户2026-10-27：17×17菱形2.5D地图与土层厚度；原Map/0.map(128,128)完整289格；docs/17x17菱形地图实施边界.md；最终策划普通怪10秒复活</x:v>
      </x:c>
      <x:c r="K8" s="18" t="str">
        <x:v>仅显式development配置使用的跨来源候选；未通过目标1.80行为/数值/真机验收，不进入正式发布。 原8槽不变，按17×17源格重新核验静态可达。</x:v>
      </x:c>
    </x:row>
    <x:row r="9" ht="26.399999618530273" hidden="0" customHeight="1">
      <x:c r="A9" s="19" t="n">
        <x:v>6</x:v>
      </x:c>
      <x:c r="B9" s="16" t="n">
        <x:v>1</x:v>
      </x:c>
      <x:c r="C9" s="16" t="n">
        <x:v>5</x:v>
      </x:c>
      <x:c r="D9" s="16" t="n">
        <x:v>1</x:v>
      </x:c>
      <x:c r="E9" s="17" t="str">
        <x:v>{"x":3,"y":2}</x:v>
      </x:c>
      <x:c r="F9" s="16" t="n">
        <x:v>10</x:v>
      </x:c>
      <x:c r="G9" s="17" t="str">
        <x:v>ordinary</x:v>
      </x:c>
      <x:c r="H9" s="17" t="str">
        <x:v>development_fixed_eight_reachable_slots</x:v>
      </x:c>
      <x:c r="I9" s="17" t="str">
        <x:v>candidate</x:v>
      </x:c>
      <x:c r="J9" s="18" t="str">
        <x:v>用户2026-10-27：17×17菱形2.5D地图与土层厚度；原Map/0.map(128,128)完整289格；docs/17x17菱形地图实施边界.md；最终策划普通怪10秒复活</x:v>
      </x:c>
      <x:c r="K9" s="18" t="str">
        <x:v>仅显式development配置使用的跨来源候选；未通过目标1.80行为/数值/真机验收，不进入正式发布。 原8槽不变，按17×17源格重新核验静态可达。</x:v>
      </x:c>
    </x:row>
    <x:row r="10" ht="26.399999618530273" hidden="0" customHeight="1">
      <x:c r="A10" s="19" t="n">
        <x:v>7</x:v>
      </x:c>
      <x:c r="B10" s="16" t="n">
        <x:v>1</x:v>
      </x:c>
      <x:c r="C10" s="16" t="n">
        <x:v>6</x:v>
      </x:c>
      <x:c r="D10" s="16" t="n">
        <x:v>1</x:v>
      </x:c>
      <x:c r="E10" s="17" t="str">
        <x:v>{"x":4,"y":14}</x:v>
      </x:c>
      <x:c r="F10" s="16" t="n">
        <x:v>10</x:v>
      </x:c>
      <x:c r="G10" s="17" t="str">
        <x:v>ordinary</x:v>
      </x:c>
      <x:c r="H10" s="17" t="str">
        <x:v>development_fixed_eight_reachable_slots</x:v>
      </x:c>
      <x:c r="I10" s="17" t="str">
        <x:v>candidate</x:v>
      </x:c>
      <x:c r="J10" s="18" t="str">
        <x:v>用户2026-10-27：17×17菱形2.5D地图与土层厚度；原Map/0.map(128,128)完整289格；docs/17x17菱形地图实施边界.md；最终策划普通怪10秒复活</x:v>
      </x:c>
      <x:c r="K10" s="18" t="str">
        <x:v>仅显式development配置使用的跨来源候选；未通过目标1.80行为/数值/真机验收，不进入正式发布。 原8槽不变，按17×17源格重新核验静态可达。</x:v>
      </x:c>
    </x:row>
    <x:row r="11" ht="26.399999618530273" hidden="0" customHeight="1">
      <x:c r="A11" s="19" t="n">
        <x:v>8</x:v>
      </x:c>
      <x:c r="B11" s="16" t="n">
        <x:v>1</x:v>
      </x:c>
      <x:c r="C11" s="16" t="n">
        <x:v>7</x:v>
      </x:c>
      <x:c r="D11" s="16" t="n">
        <x:v>1</x:v>
      </x:c>
      <x:c r="E11" s="17" t="str">
        <x:v>{"x":2,"y":12}</x:v>
      </x:c>
      <x:c r="F11" s="16" t="n">
        <x:v>10</x:v>
      </x:c>
      <x:c r="G11" s="17" t="str">
        <x:v>ordinary</x:v>
      </x:c>
      <x:c r="H11" s="17" t="str">
        <x:v>development_fixed_eight_reachable_slots</x:v>
      </x:c>
      <x:c r="I11" s="17" t="str">
        <x:v>candidate</x:v>
      </x:c>
      <x:c r="J11" s="18" t="str">
        <x:v>用户2026-10-27：17×17菱形2.5D地图与土层厚度；原Map/0.map(128,128)完整289格；docs/17x17菱形地图实施边界.md；最终策划普通怪10秒复活</x:v>
      </x:c>
      <x:c r="K11" s="18" t="str">
        <x:v>仅显式development配置使用的跨来源候选；未通过目标1.80行为/数值/真机验收，不进入正式发布。 原8槽不变，按17×17源格重新核验静态可达。</x:v>
      </x:c>
    </x:row>
  </x:sheetData>
  <x:conditionalFormatting sqref="A4:A1003">
    <x:cfRule type="expression" dxfId="468" priority="1">
      <x:formula>AND($A4&lt;&gt;"",ISBLANK(A4))</x:formula>
    </x:cfRule>
  </x:conditionalFormatting>
  <x:conditionalFormatting sqref="B4:B1003">
    <x:cfRule type="expression" dxfId="469" priority="2">
      <x:formula>AND($A4&lt;&gt;"",ISBLANK(B4))</x:formula>
    </x:cfRule>
  </x:conditionalFormatting>
  <x:conditionalFormatting sqref="C4:C1003">
    <x:cfRule type="expression" dxfId="470" priority="3">
      <x:formula>AND($A4&lt;&gt;"",ISBLANK(C4))</x:formula>
    </x:cfRule>
  </x:conditionalFormatting>
  <x:conditionalFormatting sqref="D4:D1003">
    <x:cfRule type="expression" dxfId="471" priority="4">
      <x:formula>AND($A4&lt;&gt;"",ISBLANK(D4))</x:formula>
    </x:cfRule>
  </x:conditionalFormatting>
  <x:conditionalFormatting sqref="E4:E1003">
    <x:cfRule type="expression" dxfId="472" priority="5">
      <x:formula>AND($A4&lt;&gt;"",ISBLANK(E4))</x:formula>
    </x:cfRule>
  </x:conditionalFormatting>
  <x:conditionalFormatting sqref="F4:F1003">
    <x:cfRule type="expression" dxfId="473" priority="6">
      <x:formula>AND($A4&lt;&gt;"",ISBLANK(F4))</x:formula>
    </x:cfRule>
  </x:conditionalFormatting>
  <x:conditionalFormatting sqref="G4:G1003">
    <x:cfRule type="expression" dxfId="474" priority="7">
      <x:formula>AND($A4&lt;&gt;"",ISBLANK(G4))</x:formula>
    </x:cfRule>
  </x:conditionalFormatting>
  <x:conditionalFormatting sqref="H4:H1003">
    <x:cfRule type="expression" dxfId="475" priority="8">
      <x:formula>AND($A4&lt;&gt;"",ISBLANK(H4))</x:formula>
    </x:cfRule>
  </x:conditionalFormatting>
  <x:conditionalFormatting sqref="I4:I1003">
    <x:cfRule type="containsText" dxfId="476" priority="9" operator="containsText" text="candidate"/>
    <x:cfRule type="containsText" dxfId="477" priority="10" operator="containsText" text="unverified"/>
    <x:cfRule type="containsText" dxfId="478" priority="11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54" hidden="0" customWidth="1"/>
    <x:col min="6" max="6" width="54" hidden="0" customWidth="1"/>
    <x:col min="7" max="7" width="18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NPC键</x:v>
      </x:c>
      <x:c r="C1" s="7" t="str">
        <x:v>名称</x:v>
      </x:c>
      <x:c r="D1" s="7" t="str">
        <x:v>地图ID</x:v>
      </x:c>
      <x:c r="E1" s="7" t="str">
        <x:v>站位格</x:v>
      </x:c>
      <x:c r="F1" s="7" t="str">
        <x:v>功能入口</x:v>
      </x:c>
      <x:c r="G1" s="7" t="str">
        <x:v>表现资源键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npc_key</x:v>
      </x:c>
      <x:c r="C2" s="12" t="str">
        <x:v>display_name</x:v>
      </x:c>
      <x:c r="D2" s="12" t="str">
        <x:v>map_id</x:v>
      </x:c>
      <x:c r="E2" s="12" t="str">
        <x:v>cell</x:v>
      </x:c>
      <x:c r="F2" s="12" t="str">
        <x:v>function_keys</x:v>
      </x:c>
      <x:c r="G2" s="12" t="str">
        <x:v>resource_key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json / 必填 / both</x:v>
      </x:c>
      <x:c r="F3" s="15" t="str">
        <x:v>json / 必填 / both</x:v>
      </x:c>
      <x:c r="G3" s="15" t="str">
        <x:v>string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/>
      <x:c r="B4" s="17"/>
      <x:c r="C4" s="17"/>
      <x:c r="D4" s="16"/>
      <x:c r="E4" s="17"/>
      <x:c r="F4" s="17"/>
      <x:c r="G4" s="17"/>
      <x:c r="H4" s="17"/>
      <x:c r="I4" s="18"/>
      <x:c r="J4" s="18"/>
    </x:row>
    <x:row r="5" ht="15" hidden="0" customHeight="1">
      <x:c r="A5" s="19"/>
      <x:c r="B5" s="17"/>
      <x:c r="C5" s="17"/>
      <x:c r="D5" s="16"/>
      <x:c r="E5" s="17"/>
      <x:c r="F5" s="17"/>
      <x:c r="G5" s="17"/>
      <x:c r="H5" s="17"/>
      <x:c r="I5" s="18"/>
      <x:c r="J5" s="18"/>
    </x:row>
    <x:row r="6" ht="15" hidden="0" customHeight="1">
      <x:c r="A6" s="19"/>
      <x:c r="B6" s="17"/>
      <x:c r="C6" s="17"/>
      <x:c r="D6" s="16"/>
      <x:c r="E6" s="17"/>
      <x:c r="F6" s="17"/>
      <x:c r="G6" s="17"/>
      <x:c r="H6" s="17"/>
      <x:c r="I6" s="18"/>
      <x:c r="J6" s="18"/>
    </x:row>
    <x:row r="7" ht="15" hidden="0" customHeight="1">
      <x:c r="A7" s="19"/>
      <x:c r="B7" s="17"/>
      <x:c r="C7" s="17"/>
      <x:c r="D7" s="16"/>
      <x:c r="E7" s="17"/>
      <x:c r="F7" s="17"/>
      <x:c r="G7" s="17"/>
      <x:c r="H7" s="17"/>
      <x:c r="I7" s="18"/>
      <x:c r="J7" s="18"/>
    </x:row>
    <x:row r="8" ht="15" hidden="0" customHeight="1">
      <x:c r="A8" s="19"/>
      <x:c r="B8" s="17"/>
      <x:c r="C8" s="17"/>
      <x:c r="D8" s="16"/>
      <x:c r="E8" s="17"/>
      <x:c r="F8" s="17"/>
      <x:c r="G8" s="17"/>
      <x:c r="H8" s="17"/>
      <x:c r="I8" s="18"/>
      <x:c r="J8" s="18"/>
    </x:row>
    <x:row r="9" ht="15" hidden="0" customHeight="1">
      <x:c r="A9" s="19"/>
      <x:c r="B9" s="17"/>
      <x:c r="C9" s="17"/>
      <x:c r="D9" s="16"/>
      <x:c r="E9" s="17"/>
      <x:c r="F9" s="17"/>
      <x:c r="G9" s="17"/>
      <x:c r="H9" s="17"/>
      <x:c r="I9" s="18"/>
      <x:c r="J9" s="18"/>
    </x:row>
  </x:sheetData>
  <x:conditionalFormatting sqref="A4:A1003">
    <x:cfRule type="expression" dxfId="479" priority="1">
      <x:formula>AND($A4&lt;&gt;"",ISBLANK(A4))</x:formula>
    </x:cfRule>
  </x:conditionalFormatting>
  <x:conditionalFormatting sqref="B4:B1003">
    <x:cfRule type="expression" dxfId="480" priority="2">
      <x:formula>AND($A4&lt;&gt;"",ISBLANK(B4))</x:formula>
    </x:cfRule>
  </x:conditionalFormatting>
  <x:conditionalFormatting sqref="C4:C1003">
    <x:cfRule type="expression" dxfId="481" priority="3">
      <x:formula>AND($A4&lt;&gt;"",ISBLANK(C4))</x:formula>
    </x:cfRule>
  </x:conditionalFormatting>
  <x:conditionalFormatting sqref="D4:D1003">
    <x:cfRule type="expression" dxfId="482" priority="4">
      <x:formula>AND($A4&lt;&gt;"",ISBLANK(D4))</x:formula>
    </x:cfRule>
  </x:conditionalFormatting>
  <x:conditionalFormatting sqref="E4:E1003">
    <x:cfRule type="expression" dxfId="483" priority="5">
      <x:formula>AND($A4&lt;&gt;"",ISBLANK(E4))</x:formula>
    </x:cfRule>
  </x:conditionalFormatting>
  <x:conditionalFormatting sqref="F4:F1003">
    <x:cfRule type="expression" dxfId="484" priority="6">
      <x:formula>AND($A4&lt;&gt;"",ISBLANK(F4))</x:formula>
    </x:cfRule>
  </x:conditionalFormatting>
  <x:conditionalFormatting sqref="G4:G1003">
    <x:cfRule type="expression" dxfId="485" priority="7">
      <x:formula>AND($A4&lt;&gt;"",ISBLANK(G4))</x:formula>
    </x:cfRule>
  </x:conditionalFormatting>
  <x:conditionalFormatting sqref="H4:H1003">
    <x:cfRule type="containsText" dxfId="486" priority="8" operator="containsText" text="candidate"/>
    <x:cfRule type="containsText" dxfId="487" priority="9" operator="containsText" text="unverified"/>
    <x:cfRule type="containsText" dxfId="488" priority="10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4" hidden="0" customWidth="1"/>
    <x:col min="8" max="8" width="18" hidden="0" customWidth="1"/>
    <x:col min="9" max="9" width="18" hidden="0" customWidth="1"/>
    <x:col min="10" max="10" width="54" hidden="0" customWidth="1"/>
    <x:col min="11" max="11" width="54" hidden="0" customWidth="1"/>
    <x:col min="12" max="12" width="21" hidden="0" customWidth="1"/>
    <x:col min="13" max="13" width="54" hidden="0" customWidth="1"/>
    <x:col min="14" max="14" width="21" hidden="0" customWidth="1"/>
    <x:col min="15" max="15" width="23" hidden="0" customWidth="1"/>
    <x:col min="16" max="16" width="21" hidden="0" customWidth="1"/>
    <x:col min="17" max="17" width="18" hidden="0" customWidth="1"/>
    <x:col min="18" max="18" width="48" hidden="0" customWidth="1"/>
    <x:col min="19" max="19" width="70" hidden="0" customWidth="1"/>
    <x:col min="20" max="20" width="25" hidden="0" customWidth="1"/>
    <x:col min="21" max="21" width="25" hidden="0" customWidth="1"/>
    <x:col min="22" max="22" width="25" hidden="0" customWidth="1"/>
    <x:col min="23" max="23" width="70" hidden="0" customWidth="1"/>
  </x:cols>
  <x:sheetData>
    <x:row r="1" ht="30" customHeight="1">
      <x:c r="A1" s="7" t="str">
        <x:v>配置编号</x:v>
      </x:c>
      <x:c r="B1" s="7" t="str">
        <x:v>技能键</x:v>
      </x:c>
      <x:c r="C1" s="7" t="str">
        <x:v>技能名</x:v>
      </x:c>
      <x:c r="D1" s="7" t="str">
        <x:v>职业</x:v>
      </x:c>
      <x:c r="E1" s="7" t="str">
        <x:v>学习条件等级</x:v>
      </x:c>
      <x:c r="F1" s="7" t="str">
        <x:v>基础行为键</x:v>
      </x:c>
      <x:c r="G1" s="7" t="str">
        <x:v>合法目标过滤</x:v>
      </x:c>
      <x:c r="H1" s="7" t="str">
        <x:v>格范围模板</x:v>
      </x:c>
      <x:c r="I1" s="7" t="str">
        <x:v>冷却</x:v>
      </x:c>
      <x:c r="J1" s="7" t="str">
        <x:v>前后摇与命中时点</x:v>
      </x:c>
      <x:c r="K1" s="7" t="str">
        <x:v>耗蓝与道具</x:v>
      </x:c>
      <x:c r="L1" s="7" t="str">
        <x:v>独立结算路径</x:v>
      </x:c>
      <x:c r="M1" s="7" t="str">
        <x:v>效果引用</x:v>
      </x:c>
      <x:c r="N1" s="7" t="str">
        <x:v>八方向动作与特效键</x:v>
      </x:c>
      <x:c r="O1" s="7" t="str">
        <x:v>来源证据ID</x:v>
      </x:c>
      <x:c r="P1" s="7" t="str">
        <x:v>目标1.80已核验</x:v>
      </x:c>
      <x:c r="Q1" s="7" t="str">
        <x:v>参数状态</x:v>
      </x:c>
      <x:c r="R1" s="7" t="str">
        <x:v>来源章节与行号</x:v>
      </x:c>
      <x:c r="S1" s="7" t="str">
        <x:v>说明</x:v>
      </x:c>
      <x:c r="T1" s="7" t="str">
        <x:v>学习书物品ID</x:v>
      </x:c>
      <x:c r="U1" s="7" t="str">
        <x:v>原生初学阶</x:v>
      </x:c>
      <x:c r="V1" s="7" t="str">
        <x:v>原生开放最高阶</x:v>
      </x:c>
      <x:c r="W1" s="7" t="str">
        <x:v>技能数值参数</x:v>
      </x:c>
    </x:row>
    <x:row r="2" ht="30" customHeight="1">
      <x:c r="A2" s="12" t="str">
        <x:v>id</x:v>
      </x:c>
      <x:c r="B2" s="12" t="str">
        <x:v>skill_key</x:v>
      </x:c>
      <x:c r="C2" s="12" t="str">
        <x:v>display_name</x:v>
      </x:c>
      <x:c r="D2" s="12" t="str">
        <x:v>class_id</x:v>
      </x:c>
      <x:c r="E2" s="12" t="str">
        <x:v>learn_level</x:v>
      </x:c>
      <x:c r="F2" s="12" t="str">
        <x:v>behavior_id</x:v>
      </x:c>
      <x:c r="G2" s="12" t="str">
        <x:v>target_rule</x:v>
      </x:c>
      <x:c r="H2" s="12" t="str">
        <x:v>range_pattern_id</x:v>
      </x:c>
      <x:c r="I2" s="12" t="str">
        <x:v>cooldown_ms</x:v>
      </x:c>
      <x:c r="J2" s="12" t="str">
        <x:v>cast_timing</x:v>
      </x:c>
      <x:c r="K2" s="12" t="str">
        <x:v>resource_costs</x:v>
      </x:c>
      <x:c r="L2" s="12" t="str">
        <x:v>damage_or_heal_path</x:v>
      </x:c>
      <x:c r="M2" s="12" t="str">
        <x:v>effect_ids</x:v>
      </x:c>
      <x:c r="N2" s="12" t="str">
        <x:v>action_resource_key</x:v>
      </x:c>
      <x:c r="O2" s="12" t="str">
        <x:v>reference_evidence_id</x:v>
      </x:c>
      <x:c r="P2" s="12" t="str">
        <x:v>target_180_verified</x:v>
      </x:c>
      <x:c r="Q2" s="12" t="str">
        <x:v>record_status</x:v>
      </x:c>
      <x:c r="R2" s="12" t="str">
        <x:v>source_ref</x:v>
      </x:c>
      <x:c r="S2" s="12" t="str">
        <x:v>note</x:v>
      </x:c>
      <x:c r="T2" s="12" t="str">
        <x:v>book_item_id</x:v>
      </x:c>
      <x:c r="U2" s="12" t="str">
        <x:v>native_start_level</x:v>
      </x:c>
      <x:c r="V2" s="12" t="str">
        <x:v>native_max_level</x:v>
      </x:c>
      <x:c r="W2" s="12" t="str">
        <x:v>damage_parameters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int / 必填 / both</x:v>
      </x:c>
      <x:c r="F3" s="15" t="str">
        <x:v>string / 必填 / both</x:v>
      </x:c>
      <x:c r="G3" s="15" t="str">
        <x:v>json / 必填 / both</x:v>
      </x:c>
      <x:c r="H3" s="15" t="str">
        <x:v>int / 必填 / both</x:v>
      </x:c>
      <x:c r="I3" s="15" t="str">
        <x:v>int / 必填 / 毫秒 / both</x:v>
      </x:c>
      <x:c r="J3" s="15" t="str">
        <x:v>json / 必填 / both</x:v>
      </x:c>
      <x:c r="K3" s="15" t="str">
        <x:v>json / 必填 / both</x:v>
      </x:c>
      <x:c r="L3" s="15" t="str">
        <x:v>string / 必填 / both</x:v>
      </x:c>
      <x:c r="M3" s="15" t="str">
        <x:v>json / 必填 / both</x:v>
      </x:c>
      <x:c r="N3" s="15" t="str">
        <x:v>string / 必填 / both</x:v>
      </x:c>
      <x:c r="O3" s="15" t="str">
        <x:v>string / 必填 / none</x:v>
      </x:c>
      <x:c r="P3" s="15" t="str">
        <x:v>bool / 必填 / none</x:v>
      </x:c>
      <x:c r="Q3" s="15" t="str">
        <x:v>string / 必填 / none</x:v>
      </x:c>
      <x:c r="R3" s="15" t="str">
        <x:v>string / 必填 / none</x:v>
      </x:c>
      <x:c r="S3" s="15" t="str">
        <x:v>string / 可空 / none</x:v>
      </x:c>
      <x:c r="T3" s="15" t="str">
        <x:v>int / 可空 / both</x:v>
      </x:c>
      <x:c r="U3" s="15" t="str">
        <x:v>int / 可空 / both</x:v>
      </x:c>
      <x:c r="V3" s="15" t="str">
        <x:v>int / 可空 / both</x:v>
      </x:c>
      <x:c r="W3" s="15" t="str">
        <x:v>json / 可空 / both</x:v>
      </x:c>
    </x:row>
    <x:row r="4" ht="39.599998474121094" hidden="0" customHeight="1">
      <x:c r="A4" s="19" t="n">
        <x:v>0</x:v>
      </x:c>
      <x:c r="B4" s="17" t="str">
        <x:v>development_basic_attack</x:v>
      </x:c>
      <x:c r="C4" s="17" t="str">
        <x:v>开发普攻</x:v>
      </x:c>
      <x:c r="D4" s="16"/>
      <x:c r="E4" s="16" t="n">
        <x:v>1</x:v>
      </x:c>
      <x:c r="F4" s="17" t="str">
        <x:v>development_range_minus_defence</x:v>
      </x:c>
      <x:c r="G4" s="17" t="str">
        <x:v>{"enemy_only":true,"adjacent_eight_directions":true,"class_ids":[0,1,2]}</x:v>
      </x:c>
      <x:c r="H4" s="16"/>
      <x:c r="I4" s="16"/>
      <x:c r="J4" s="17" t="str">
        <x:v>{"animation":"attack","logic":"server_attack_interval"}</x:v>
      </x:c>
      <x:c r="K4" s="17" t="str">
        <x:v>{"mp":0,"items":[]}</x:v>
      </x:c>
      <x:c r="L4" s="17" t="str">
        <x:v>development_range_minus_defence</x:v>
      </x:c>
      <x:c r="M4" s="17" t="str">
        <x:v>[]</x:v>
      </x:c>
      <x:c r="N4" s="17" t="str">
        <x:v>player_male.attack</x:v>
      </x:c>
      <x:c r="O4" s="17" t="str">
        <x:v>dev_physical_basic_v1</x:v>
      </x:c>
      <x:c r="P4" s="9" t="b">
        <x:v>0</x:v>
      </x:c>
      <x:c r="Q4" s="17" t="str">
        <x:v>candidate</x:v>
      </x:c>
      <x:c r="R4" s="18" t="str">
        <x:v>../SuprcodeCrystal/Server/MirObjects/HumanObject.cs:2974-2981；../SuprcodeCrystal/Server/MirObjects/MapObject.cs:243-259</x:v>
      </x:c>
      <x:c r="S4" s="18" t="str">
        <x:v>仅显式development配置使用的跨来源候选；未通过目标1.80行为/数值/真机验收，不进入正式发布。 普攻0为本项目开发消息标识，非来源技能ID；三职业共用近身普攻，职业专属施法仍禁用。</x:v>
      </x:c>
      <x:c r="T4" s="17"/>
      <x:c r="U4" s="17"/>
      <x:c r="V4" s="17"/>
      <x:c r="W4" s="17"/>
    </x:row>
    <x:row r="5" ht="70" hidden="0" customHeight="1">
      <x:c r="A5" s="19" t="n">
        <x:v>1</x:v>
      </x:c>
      <x:c r="B5" s="17" t="str">
        <x:v>source_fireball</x:v>
      </x:c>
      <x:c r="C5" s="17" t="str">
        <x:v>火球术</x:v>
      </x:c>
      <x:c r="D5" s="16" t="n">
        <x:v>1</x:v>
      </x:c>
      <x:c r="E5" s="16" t="n">
        <x:v>7</x:v>
      </x:c>
      <x:c r="F5" s="17" t="str">
        <x:v>fireball</x:v>
      </x:c>
      <x:c r="G5" s="17" t="str">
        <x:v>{"kind":"enemy_entity","range_cells":9,"target_move_tolerance_cells":2,"area_radius":0,"require_line_of_sight":true,"auto_priority":10,"auto_min_targets":1,"secondary_direction_offsets":[],"secondary_distance_cells":0,"line_cells":0,"line_stop_on_blocked":false,"activation_kind":"cast","auto_enabled":true}</x:v>
      </x:c>
      <x:c r="H5" s="16"/>
      <x:c r="I5" s="16" t="n">
        <x:v>1800</x:v>
      </x:c>
      <x:c r="J5" s="17" t="str">
        <x:v>{"cooldown_reduction_ms":0,"global_spell_ms":1800,"action_ms":600,"delay_base_ms":500,"projectile_ms_per_cell":50,"secondary_impact_ms":0,"charge_window_ms":0,"line_step_ms":0}</x:v>
      </x:c>
      <x:c r="K5" s="17" t="str">
        <x:v>{"mp_base_cost":3,"mp_level_cost":2,"items":[],"material_item_id":0,"material_quantity":0}</x:v>
      </x:c>
      <x:c r="L5" s="17" t="str">
        <x:v>fireball</x:v>
      </x:c>
      <x:c r="M5" s="17" t="str">
        <x:v>[]</x:v>
      </x:c>
      <x:c r="N5" s="17" t="str">
        <x:v>player_female.casting</x:v>
      </x:c>
      <x:c r="O5" s="17" t="str">
        <x:v>development_source_fireball_v1</x:v>
      </x:c>
      <x:c r="P5" s="9" t="b">
        <x:v>0</x:v>
      </x:c>
      <x:c r="Q5" s="17" t="str">
        <x:v>candidate</x:v>
      </x:c>
      <x:c r="R5" s="18" t="str">
        <x:v>docs/技能来源核验与实施清单.md；docs/技能获取与升级实施边界.md；Crystal默认源码候选</x:v>
      </x:c>
      <x:c r="S5" s="18" t="str">
        <x:v>从原开发夹具原值迁移；未核验目标1.80，未填造范围模板ID。初学0，开放原生阶0至3。 本轮显式登记目标类型/区域半径/飞行遮挡和非线性被动数组；原三技能费用与行为不变。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5" s="17" t="n">
        <x:v>7</x:v>
      </x:c>
      <x:c r="U5" s="17" t="n">
        <x:v>0</x:v>
      </x:c>
      <x:c r="V5" s="17" t="n">
        <x:v>3</x:v>
      </x:c>
      <x:c r="W5" s="17" t="str">
        <x:v>{"accuracy_per_level":0,"power_base":2,"power_bonus":0,"mpower_base":8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6" ht="70" hidden="0" customHeight="1">
      <x:c r="A6" s="19" t="n">
        <x:v>2</x:v>
      </x:c>
      <x:c r="B6" s="17" t="str">
        <x:v>source_healing</x:v>
      </x:c>
      <x:c r="C6" s="17" t="str">
        <x:v>治愈术</x:v>
      </x:c>
      <x:c r="D6" s="16" t="n">
        <x:v>2</x:v>
      </x:c>
      <x:c r="E6" s="16" t="n">
        <x:v>7</x:v>
      </x:c>
      <x:c r="F6" s="17" t="str">
        <x:v>healing</x:v>
      </x:c>
      <x:c r="G6" s="17" t="str">
        <x:v>{"kind":"friendly_entity","range_cells":9,"target_move_tolerance_cells":0,"area_radius":0,"require_line_of_sight":false,"auto_priority":30,"auto_min_targets":1,"secondary_direction_offsets":[],"secondary_distance_cells":0,"line_cells":0,"line_stop_on_blocked":false,"activation_kind":"cast","auto_enabled":true}</x:v>
      </x:c>
      <x:c r="H6" s="16"/>
      <x:c r="I6" s="16" t="n">
        <x:v>1800</x:v>
      </x:c>
      <x:c r="J6" s="17" t="str">
        <x:v>{"cooldown_reduction_ms":0,"global_spell_ms":1800,"action_ms":600,"delay_base_ms":500,"projectile_ms_per_cell":0,"secondary_impact_ms":0,"charge_window_ms":0,"line_step_ms":0}</x:v>
      </x:c>
      <x:c r="K6" s="17" t="str">
        <x:v>{"mp_base_cost":3,"mp_level_cost":2,"items":[],"material_item_id":0,"material_quantity":0}</x:v>
      </x:c>
      <x:c r="L6" s="17" t="str">
        <x:v>healing</x:v>
      </x:c>
      <x:c r="M6" s="17" t="str">
        <x:v>[]</x:v>
      </x:c>
      <x:c r="N6" s="17" t="str">
        <x:v>player_male.casting</x:v>
      </x:c>
      <x:c r="O6" s="17" t="str">
        <x:v>development_source_healing_v1</x:v>
      </x:c>
      <x:c r="P6" s="9" t="b">
        <x:v>0</x:v>
      </x:c>
      <x:c r="Q6" s="17" t="str">
        <x:v>candidate</x:v>
      </x:c>
      <x:c r="R6" s="18" t="str">
        <x:v>docs/技能来源核验与实施清单.md；docs/技能获取与升级实施边界.md；Crystal默认源码候选</x:v>
      </x:c>
      <x:c r="S6" s="18" t="str">
        <x:v>从原开发夹具原值迁移；未核验目标1.80，未填造范围模板ID。初学0，开放原生阶0至3。 本轮显式登记目标类型/区域半径/飞行遮挡和非线性被动数组；原三技能费用与行为不变。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6" s="17" t="n">
        <x:v>21</x:v>
      </x:c>
      <x:c r="U6" s="17" t="n">
        <x:v>0</x:v>
      </x:c>
      <x:c r="V6" s="17" t="n">
        <x:v>3</x:v>
      </x:c>
      <x:c r="W6" s="17" t="str">
        <x:v>{"accuracy_per_level":0,"power_base":0,"power_bonus":0,"mpower_base":14,"mpower_bonus":0,"multiplier_base_ppm":1000000,"multiplier_bonus_ppm":0,"accuracy_by_level":[0,0,0,0],"healing_stat_multiplier":2,"add_caster_level":true,"undead_multiplier_ppm":1000000,"max_attack_bonus_by_level":[0,0,0,0],"ready_proc_denominator":0,"ready_proc_numerators":[0,0,0,0],"non_undead_divisor":1}</x:v>
      </x:c>
    </x:row>
    <x:row r="7" ht="70" hidden="0" customHeight="1">
      <x:c r="A7" s="19" t="n">
        <x:v>3</x:v>
      </x:c>
      <x:c r="B7" s="17" t="str">
        <x:v>source_fencing</x:v>
      </x:c>
      <x:c r="C7" s="17" t="str">
        <x:v>基本剑术</x:v>
      </x:c>
      <x:c r="D7" s="16" t="n">
        <x:v>0</x:v>
      </x:c>
      <x:c r="E7" s="16" t="n">
        <x:v>7</x:v>
      </x:c>
      <x:c r="F7" s="17" t="str">
        <x:v>fencing</x:v>
      </x:c>
      <x:c r="G7" s="17" t="str">
        <x:v>{"kind":"passive","range_cells":0,"target_move_tolerance_cells":0,"area_radius":0,"require_line_of_sight":false,"auto_priority":0,"auto_min_targets":0,"secondary_direction_offsets":[],"secondary_distance_cells":0,"line_cells":0,"line_stop_on_blocked":false,"activation_kind":"passive","auto_enabled":false}</x:v>
      </x:c>
      <x:c r="H7" s="16"/>
      <x:c r="I7" s="16" t="n">
        <x:v>1800</x:v>
      </x:c>
      <x:c r="J7" s="17" t="str">
        <x:v>{"cooldown_reduction_ms":0,"global_spell_ms":0,"action_ms":0,"delay_base_ms":0,"projectile_ms_per_cell":0,"secondary_impact_ms":0,"charge_window_ms":0,"line_step_ms":0}</x:v>
      </x:c>
      <x:c r="K7" s="17" t="str">
        <x:v>{"mp_base_cost":0,"mp_level_cost":0,"items":[],"material_item_id":0,"material_quantity":0}</x:v>
      </x:c>
      <x:c r="L7" s="17" t="str">
        <x:v>fencing</x:v>
      </x:c>
      <x:c r="M7" s="17" t="str">
        <x:v>[]</x:v>
      </x:c>
      <x:c r="N7" s="17" t="str">
        <x:v>passive</x:v>
      </x:c>
      <x:c r="O7" s="17" t="str">
        <x:v>development_source_fencing_v1</x:v>
      </x:c>
      <x:c r="P7" s="9" t="b">
        <x:v>0</x:v>
      </x:c>
      <x:c r="Q7" s="17" t="str">
        <x:v>candidate</x:v>
      </x:c>
      <x:c r="R7" s="18" t="str">
        <x:v>docs/技能来源核验与实施清单.md；docs/技能获取与升级实施边界.md；Crystal默认源码候选</x:v>
      </x:c>
      <x:c r="S7" s="18" t="str">
        <x:v>从原开发夹具原值迁移；未核验目标1.80，未填造范围模板ID。初学0，开放原生阶0至3。 本轮显式登记目标类型/区域半径/飞行遮挡和非线性被动数组；原三技能费用与行为不变。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7" s="17" t="n">
        <x:v>1</x:v>
      </x:c>
      <x:c r="U7" s="17" t="n">
        <x:v>0</x:v>
      </x:c>
      <x:c r="V7" s="17" t="n">
        <x:v>3</x:v>
      </x:c>
      <x:c r="W7" s="17" t="str">
        <x:v>{"accuracy_per_level":3,"power_base":0,"power_bonus":0,"mpower_base":0,"mpower_bonus":0,"multiplier_base_ppm":1000000,"multiplier_bonus_ppm":0,"accuracy_by_level":[0,3,6,9],"healing_stat_multiplier":0,"add_caster_level":false,"undead_multiplier_ppm":1000000,"max_attack_bonus_by_level":[0,0,0,0],"ready_proc_denominator":0,"ready_proc_numerators":[0,0,0,0],"non_undead_divisor":1}</x:v>
      </x:c>
    </x:row>
    <x:row r="8" ht="70" hidden="0" customHeight="1">
      <x:c r="A8" s="19" t="n">
        <x:v>4</x:v>
      </x:c>
      <x:c r="B8" s="17" t="str">
        <x:v>source_spirit_sword</x:v>
      </x:c>
      <x:c r="C8" s="17" t="str">
        <x:v>精神力战法</x:v>
      </x:c>
      <x:c r="D8" s="16" t="n">
        <x:v>2</x:v>
      </x:c>
      <x:c r="E8" s="16" t="n">
        <x:v>9</x:v>
      </x:c>
      <x:c r="F8" s="17" t="str">
        <x:v>spirit_sword</x:v>
      </x:c>
      <x:c r="G8" s="17" t="str">
        <x:v>{"kind":"passive","range_cells":0,"target_move_tolerance_cells":0,"area_radius":0,"require_line_of_sight":false,"auto_priority":0,"auto_min_targets":0,"secondary_direction_offsets":[],"secondary_distance_cells":0,"line_cells":0,"line_stop_on_blocked":false,"activation_kind":"passive","auto_enabled":false}</x:v>
      </x:c>
      <x:c r="H8" s="16"/>
      <x:c r="I8" s="16" t="n">
        <x:v>0</x:v>
      </x:c>
      <x:c r="J8" s="17" t="str">
        <x:v>{"cooldown_reduction_ms":0,"global_spell_ms":0,"action_ms":0,"delay_base_ms":0,"projectile_ms_per_cell":0,"secondary_impact_ms":0,"charge_window_ms":0,"line_step_ms":0}</x:v>
      </x:c>
      <x:c r="K8" s="17" t="str">
        <x:v>{"mp_base_cost":0,"mp_level_cost":0,"items":[],"material_item_id":0,"material_quantity":0}</x:v>
      </x:c>
      <x:c r="L8" s="17" t="str">
        <x:v>spirit_sword</x:v>
      </x:c>
      <x:c r="M8" s="17" t="str">
        <x:v>[]</x:v>
      </x:c>
      <x:c r="N8" s="17" t="str">
        <x:v>passive</x:v>
      </x:c>
      <x:c r="O8" s="17" t="str">
        <x:v>development_source_spirit_sword_v1</x:v>
      </x:c>
      <x:c r="P8" s="9" t="b">
        <x:v>0</x:v>
      </x:c>
      <x:c r="Q8" s="17" t="str">
        <x:v>candidate</x:v>
      </x:c>
      <x:c r="R8" s="18" t="str">
        <x:v>docs/范围技能与战斗时序实施边界.md；资料参考/crystal/Server/MirEnvir/Envir.cs；HumanObject.cs与MirEnvir/Map.cs源码候选</x:v>
      </x:c>
      <x:c r="S8" s="18" t="str">
        <x:v>development源码默认候选；学习取Crystal Level1为明确适配，升级门槛沿该技能Level1/2/3。MYF原书价格只作开发定价参考；未认证目标1.80。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8" s="17" t="n">
        <x:v>22</x:v>
      </x:c>
      <x:c r="U8" s="17" t="n">
        <x:v>0</x:v>
      </x:c>
      <x:c r="V8" s="17" t="n">
        <x:v>3</x:v>
      </x:c>
      <x:c r="W8" s="17" t="str">
        <x:v>{"accuracy_per_level":0,"power_base":0,"power_bonus":0,"mpower_base":0,"mpower_bonus":0,"multiplier_base_ppm":1000000,"multiplier_bonus_ppm":0,"accuracy_by_level":[0,3,5,8],"healing_stat_multiplier":0,"add_caster_level":false,"undead_multiplier_ppm":1000000,"max_attack_bonus_by_level":[0,0,0,0],"ready_proc_denominator":0,"ready_proc_numerators":[0,0,0,0],"non_undead_divisor":1}</x:v>
      </x:c>
    </x:row>
    <x:row r="9" ht="70" hidden="0" customHeight="1">
      <x:c r="A9" s="19" t="n">
        <x:v>5</x:v>
      </x:c>
      <x:c r="B9" s="17" t="str">
        <x:v>source_great_fireball</x:v>
      </x:c>
      <x:c r="C9" s="17" t="str">
        <x:v>大火球</x:v>
      </x:c>
      <x:c r="D9" s="16" t="n">
        <x:v>1</x:v>
      </x:c>
      <x:c r="E9" s="16" t="n">
        <x:v>15</x:v>
      </x:c>
      <x:c r="F9" s="17" t="str">
        <x:v>great_fireball</x:v>
      </x:c>
      <x:c r="G9" s="17" t="str">
        <x:v>{"kind":"enemy_entity","range_cells":9,"target_move_tolerance_cells":2,"area_radius":0,"require_line_of_sight":true,"auto_priority":20,"auto_min_targets":1,"secondary_direction_offsets":[],"secondary_distance_cells":0,"line_cells":0,"line_stop_on_blocked":false,"activation_kind":"cast","auto_enabled":true}</x:v>
      </x:c>
      <x:c r="H9" s="16"/>
      <x:c r="I9" s="16" t="n">
        <x:v>1800</x:v>
      </x:c>
      <x:c r="J9" s="17" t="str">
        <x:v>{"cooldown_reduction_ms":0,"global_spell_ms":1800,"action_ms":600,"delay_base_ms":500,"projectile_ms_per_cell":50,"secondary_impact_ms":0,"charge_window_ms":0,"line_step_ms":0}</x:v>
      </x:c>
      <x:c r="K9" s="17" t="str">
        <x:v>{"mp_base_cost":5,"mp_level_cost":1,"items":[],"material_item_id":0,"material_quantity":0}</x:v>
      </x:c>
      <x:c r="L9" s="17" t="str">
        <x:v>great_fireball</x:v>
      </x:c>
      <x:c r="M9" s="17" t="str">
        <x:v>[]</x:v>
      </x:c>
      <x:c r="N9" s="17" t="str">
        <x:v>player_female.casting</x:v>
      </x:c>
      <x:c r="O9" s="17" t="str">
        <x:v>development_source_great_fireball_v1</x:v>
      </x:c>
      <x:c r="P9" s="9" t="b">
        <x:v>0</x:v>
      </x:c>
      <x:c r="Q9" s="17" t="str">
        <x:v>candidate</x:v>
      </x:c>
      <x:c r="R9" s="18" t="str">
        <x:v>docs/范围技能与战斗时序实施边界.md；资料参考/crystal/Server/MirEnvir/Envir.cs；HumanObject.cs与MirEnvir/Map.cs源码候选</x:v>
      </x:c>
      <x:c r="S9" s="18" t="str">
        <x:v>development源码默认候选；学习取Crystal Level1为明确适配，升级门槛沿该技能Level1/2/3。MYF原书价格只作开发定价参考；未认证目标1.80。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9" s="17" t="n">
        <x:v>12</x:v>
      </x:c>
      <x:c r="U9" s="17" t="n">
        <x:v>0</x:v>
      </x:c>
      <x:c r="V9" s="17" t="n">
        <x:v>3</x:v>
      </x:c>
      <x:c r="W9" s="17" t="str">
        <x:v>{"accuracy_per_level":0,"power_base":10,"power_bonus":0,"mpower_base":6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10" ht="70" customHeight="1">
      <x:c r="A10" s="19" t="n">
        <x:v>11</x:v>
      </x:c>
      <x:c r="B10" s="17" t="str">
        <x:v>source_thunderbolt</x:v>
      </x:c>
      <x:c r="C10" s="17" t="str">
        <x:v>雷电术</x:v>
      </x:c>
      <x:c r="D10" s="16" t="n">
        <x:v>1</x:v>
      </x:c>
      <x:c r="E10" s="16" t="n">
        <x:v>17</x:v>
      </x:c>
      <x:c r="F10" s="17" t="str">
        <x:v>thunderbolt</x:v>
      </x:c>
      <x:c r="G10" s="17" t="str">
        <x:v>{"kind":"enemy_entity","range_cells":9,"target_move_tolerance_cells":2,"area_radius":0,"require_line_of_sight":false,"auto_priority":30,"auto_min_targets":1,"secondary_direction_offsets":[],"secondary_distance_cells":0,"line_cells":0,"line_stop_on_blocked":false,"activation_kind":"cast","auto_enabled":true}</x:v>
      </x:c>
      <x:c r="H10" s="16"/>
      <x:c r="I10" s="16" t="n">
        <x:v>1800</x:v>
      </x:c>
      <x:c r="J10" s="17" t="str">
        <x:v>{"cooldown_reduction_ms":0,"global_spell_ms":1800,"action_ms":600,"delay_base_ms":500,"projectile_ms_per_cell":0,"secondary_impact_ms":0,"charge_window_ms":0,"line_step_ms":0}</x:v>
      </x:c>
      <x:c r="K10" s="17" t="str">
        <x:v>{"mp_base_cost":9,"mp_level_cost":2,"items":[],"material_item_id":0,"material_quantity":0}</x:v>
      </x:c>
      <x:c r="L10" s="17" t="str">
        <x:v>thunderbolt</x:v>
      </x:c>
      <x:c r="M10" s="17" t="str">
        <x:v>[]</x:v>
      </x:c>
      <x:c r="N10" s="17" t="str">
        <x:v>player_female.casting</x:v>
      </x:c>
      <x:c r="O10" s="17" t="str">
        <x:v>development_source_thunderbolt_v1</x:v>
      </x:c>
      <x:c r="P10" s="9" t="b">
        <x:v>0</x:v>
      </x:c>
      <x:c r="Q10" s="17" t="str">
        <x:v>candidate</x:v>
      </x:c>
      <x:c r="R10" s="18" t="str">
        <x:v>docs/范围技能与战斗时序实施边界.md；资料参考/crystal/Server/MirEnvir/Envir.cs；HumanObject.cs与MirEnvir/Map.cs源码候选</x:v>
      </x:c>
      <x:c r="S10" s="18" t="str">
        <x:v>development源码默认候选；学习取Crystal Level1为明确适配，升级门槛沿该技能Level1/2/3。MYF原书价格只作开发定价参考；未认证目标1.80。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10" s="17" t="n">
        <x:v>11</x:v>
      </x:c>
      <x:c r="U10" s="17" t="n">
        <x:v>0</x:v>
      </x:c>
      <x:c r="V10" s="17" t="n">
        <x:v>3</x:v>
      </x:c>
      <x:c r="W10" s="17" t="str">
        <x:v>{"accuracy_per_level":0,"power_base":9,"power_bonus":0,"mpower_base":8,"mpower_bonus":20,"multiplier_base_ppm":1000000,"multiplier_bonus_ppm":0,"accuracy_by_level":[0,0,0,0],"healing_stat_multiplier":0,"add_caster_level":false,"undead_multiplier_ppm":1500000,"max_attack_bonus_by_level":[0,0,0,0],"ready_proc_denominator":0,"ready_proc_numerators":[0,0,0,0],"non_undead_divisor":1}</x:v>
      </x:c>
    </x:row>
    <x:row r="11" ht="70" customHeight="1">
      <x:c r="A11" s="19" t="n">
        <x:v>23</x:v>
      </x:c>
      <x:c r="B11" s="17" t="str">
        <x:v>source_firebang</x:v>
      </x:c>
      <x:c r="C11" s="17" t="str">
        <x:v>爆裂火焰</x:v>
      </x:c>
      <x:c r="D11" s="16" t="n">
        <x:v>1</x:v>
      </x:c>
      <x:c r="E11" s="16" t="n">
        <x:v>22</x:v>
      </x:c>
      <x:c r="F11" s="17" t="str">
        <x:v>firebang</x:v>
      </x:c>
      <x:c r="G11" s="17" t="str">
        <x:v>{"kind":"enemy_grid","range_cells":9,"target_move_tolerance_cells":0,"area_radius":1,"require_line_of_sight":false,"auto_priority":40,"auto_min_targets":2,"secondary_direction_offsets":[],"secondary_distance_cells":0,"line_cells":0,"line_stop_on_blocked":false,"activation_kind":"cast","auto_enabled":true}</x:v>
      </x:c>
      <x:c r="H11" s="16"/>
      <x:c r="I11" s="16" t="n">
        <x:v>1800</x:v>
      </x:c>
      <x:c r="J11" s="17" t="str">
        <x:v>{"cooldown_reduction_ms":0,"global_spell_ms":1800,"action_ms":600,"delay_base_ms":500,"projectile_ms_per_cell":0,"secondary_impact_ms":0,"charge_window_ms":0,"line_step_ms":0}</x:v>
      </x:c>
      <x:c r="K11" s="17" t="str">
        <x:v>{"mp_base_cost":14,"mp_level_cost":4,"items":[],"material_item_id":0,"material_quantity":0}</x:v>
      </x:c>
      <x:c r="L11" s="17" t="str">
        <x:v>firebang</x:v>
      </x:c>
      <x:c r="M11" s="17" t="str">
        <x:v>[]</x:v>
      </x:c>
      <x:c r="N11" s="17" t="str">
        <x:v>player_female.casting</x:v>
      </x:c>
      <x:c r="O11" s="17" t="str">
        <x:v>development_source_firebang_v1</x:v>
      </x:c>
      <x:c r="P11" s="9" t="b">
        <x:v>0</x:v>
      </x:c>
      <x:c r="Q11" s="17" t="str">
        <x:v>candidate</x:v>
      </x:c>
      <x:c r="R11" s="18" t="str">
        <x:v>docs/范围技能与战斗时序实施边界.md；资料参考/crystal/Server/MirEnvir/Envir.cs；HumanObject.cs与MirEnvir/Map.cs源码候选</x:v>
      </x:c>
      <x:c r="S11" s="18" t="str">
        <x:v>development源码默认候选；学习取Crystal Level1为明确适配，升级门槛沿该技能Level1/2/3。MYF原书价格只作开发定价参考；未认证目标1.80。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11" s="17" t="n">
        <x:v>14</x:v>
      </x:c>
      <x:c r="U11" s="17" t="n">
        <x:v>0</x:v>
      </x:c>
      <x:c r="V11" s="17" t="n">
        <x:v>3</x:v>
      </x:c>
      <x:c r="W11" s="17" t="str">
        <x:v>{"accuracy_per_level":0,"power_base":8,"power_bonus":0,"mpower_base":8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12" ht="70" customHeight="1">
      <x:c r="A12" s="19" t="n">
        <x:v>29</x:v>
      </x:c>
      <x:c r="B12" s="17" t="str">
        <x:v>source_mass_healing</x:v>
      </x:c>
      <x:c r="C12" s="17" t="str">
        <x:v>群体治疗术</x:v>
      </x:c>
      <x:c r="D12" s="16" t="n">
        <x:v>2</x:v>
      </x:c>
      <x:c r="E12" s="16" t="n">
        <x:v>31</x:v>
      </x:c>
      <x:c r="F12" s="17" t="str">
        <x:v>mass_healing</x:v>
      </x:c>
      <x:c r="G12" s="17" t="str">
        <x:v>{"kind":"friendly_grid","range_cells":9,"target_move_tolerance_cells":0,"area_radius":1,"require_line_of_sight":false,"auto_priority":40,"auto_min_targets":2,"secondary_direction_offsets":[],"secondary_distance_cells":0,"line_cells":0,"line_stop_on_blocked":false,"activation_kind":"cast","auto_enabled":true}</x:v>
      </x:c>
      <x:c r="H12" s="16"/>
      <x:c r="I12" s="16" t="n">
        <x:v>1800</x:v>
      </x:c>
      <x:c r="J12" s="17" t="str">
        <x:v>{"cooldown_reduction_ms":0,"global_spell_ms":1800,"action_ms":600,"delay_base_ms":500,"projectile_ms_per_cell":0,"secondary_impact_ms":0,"charge_window_ms":0,"line_step_ms":0}</x:v>
      </x:c>
      <x:c r="K12" s="17" t="str">
        <x:v>{"mp_base_cost":28,"mp_level_cost":3,"items":[],"material_item_id":0,"material_quantity":0}</x:v>
      </x:c>
      <x:c r="L12" s="17" t="str">
        <x:v>mass_healing</x:v>
      </x:c>
      <x:c r="M12" s="17" t="str">
        <x:v>[]</x:v>
      </x:c>
      <x:c r="N12" s="17" t="str">
        <x:v>player_male.casting</x:v>
      </x:c>
      <x:c r="O12" s="17" t="str">
        <x:v>development_source_mass_healing_v1</x:v>
      </x:c>
      <x:c r="P12" s="9" t="b">
        <x:v>0</x:v>
      </x:c>
      <x:c r="Q12" s="17" t="str">
        <x:v>candidate</x:v>
      </x:c>
      <x:c r="R12" s="18" t="str">
        <x:v>docs/范围技能与战斗时序实施边界.md；资料参考/crystal/Server/MirEnvir/Envir.cs；HumanObject.cs与MirEnvir/Map.cs源码候选</x:v>
      </x:c>
      <x:c r="S12" s="18" t="str">
        <x:v>development源码默认候选；学习取Crystal Level1为明确适配，升级门槛沿该技能Level1/2/3。MYF原书价格只作开发定价参考；未认证目标1.80。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12" s="17" t="n">
        <x:v>32</x:v>
      </x:c>
      <x:c r="U12" s="17" t="n">
        <x:v>0</x:v>
      </x:c>
      <x:c r="V12" s="17" t="n">
        <x:v>3</x:v>
      </x:c>
      <x:c r="W12" s="17" t="str">
        <x:v>{"accuracy_per_level":0,"power_base":4,"power_bonus":0,"mpower_base":10,"mpower_bonus":0,"multiplier_base_ppm":1000000,"multiplier_bonus_ppm":0,"accuracy_by_level":[0,0,0,0],"healing_stat_multiplier":1,"add_caster_level":false,"undead_multiplier_ppm":1000000,"max_attack_bonus_by_level":[0,0,0,0],"ready_proc_denominator":0,"ready_proc_numerators":[0,0,0,0],"non_undead_divisor":1}</x:v>
      </x:c>
    </x:row>
    <x:row r="13" ht="70" customHeight="1">
      <x:c r="A13" s="19" t="n">
        <x:v>7</x:v>
      </x:c>
      <x:c r="B13" s="17" t="str">
        <x:v>source_slaying</x:v>
      </x:c>
      <x:c r="C13" s="17" t="str">
        <x:v>攻杀剑术</x:v>
      </x:c>
      <x:c r="D13" s="16" t="n">
        <x:v>0</x:v>
      </x:c>
      <x:c r="E13" s="16" t="n">
        <x:v>15</x:v>
      </x:c>
      <x:c r="F13" s="17" t="str">
        <x:v>slaying</x:v>
      </x:c>
      <x:c r="G13" s="17" t="str">
        <x:v>{"kind":"passive","activation_kind":"passive_proc","range_cells":0,"target_move_tolerance_cells":0,"area_radius":0,"require_line_of_sight":false,"auto_priority":0,"auto_min_targets":0,"secondary_direction_offsets":[],"secondary_distance_cells":0,"line_cells":0,"line_stop_on_blocked":false,"auto_enabled":false}</x:v>
      </x:c>
      <x:c r="H13" s="16"/>
      <x:c r="I13" s="16" t="n">
        <x:v>0</x:v>
      </x:c>
      <x:c r="J13" s="17" t="str">
        <x:v>{"cooldown_reduction_ms":0,"global_spell_ms":0,"action_ms":0,"delay_base_ms":0,"projectile_ms_per_cell":0,"secondary_impact_ms":0,"charge_window_ms":0,"line_step_ms":0}</x:v>
      </x:c>
      <x:c r="K13" s="17" t="str">
        <x:v>{"mp_base_cost":0,"mp_level_cost":0,"items":[],"material_item_id":0,"material_quantity":0}</x:v>
      </x:c>
      <x:c r="L13" s="17" t="str">
        <x:v>slaying</x:v>
      </x:c>
      <x:c r="M13" s="17" t="str">
        <x:v>[]</x:v>
      </x:c>
      <x:c r="N13" s="17" t="str">
        <x:v>player_male.attack</x:v>
      </x:c>
      <x:c r="O13" s="17" t="str">
        <x:v>development_source_slaying_v1</x:v>
      </x:c>
      <x:c r="P13" s="9" t="b">
        <x:v>0</x:v>
      </x:c>
      <x:c r="Q13" s="17" t="str">
        <x:v>candidate</x:v>
      </x:c>
      <x:c r="R13" s="18" t="str">
        <x:v>docs/战士攻击模式与方向技能实施边界.md；资料参考/crystal/Server/MirObjects/HumanObject.cs；MirEnvir/Map.cs与Envir.cs；Client/MirObjects/PlayerObject.cs源码候选</x:v>
      </x:c>
      <x:c r="S13" s="18" t="str">
        <x:v>development源码默认候选；基础行为逐项登记，学习/升级门槛沿Crystal Level1/2/3；书本=目标阶+1已定，页与书价候选；未认证目标1.80。战士不用Magic默认1800时钟，按普通攻击550动作/300前格受理；新自动优先级只是本作候选。；rule10显式auto_enabled保持已有普通自动选技候选行为；优先级0不表示关闭；被动、开关、充能不进入普通选技，烈火独立自动逻辑不变。</x:v>
      </x:c>
      <x:c r="T13" s="17" t="n">
        <x:v>2</x:v>
      </x:c>
      <x:c r="U13" s="17" t="n">
        <x:v>0</x:v>
      </x:c>
      <x:c r="V13" s="17" t="n">
        <x:v>3</x:v>
      </x:c>
      <x:c r="W13" s="17" t="str">
        <x:v>{"accuracy_per_level":1,"power_base":0,"power_bonus":0,"mpower_base":0,"mpower_bonus":0,"multiplier_base_ppm":1000000,"multiplier_bonus_ppm":0,"accuracy_by_level":[0,1,2,3],"healing_stat_multiplier":0,"add_caster_level":false,"undead_multiplier_ppm":1000000,"max_attack_bonus_by_level":[5,6,7,8],"ready_proc_denominator":12,"ready_proc_numerators":[1,2,3,4],"non_undead_divisor":1}</x:v>
      </x:c>
    </x:row>
    <x:row r="14" ht="70" customHeight="1">
      <x:c r="A14" s="19" t="n">
        <x:v>12</x:v>
      </x:c>
      <x:c r="B14" s="17" t="str">
        <x:v>source_thrusting</x:v>
      </x:c>
      <x:c r="C14" s="17" t="str">
        <x:v>刺杀剑术</x:v>
      </x:c>
      <x:c r="D14" s="16" t="n">
        <x:v>0</x:v>
      </x:c>
      <x:c r="E14" s="16" t="n">
        <x:v>22</x:v>
      </x:c>
      <x:c r="F14" s="17" t="str">
        <x:v>thrusting</x:v>
      </x:c>
      <x:c r="G14" s="17" t="str">
        <x:v>{"kind":"attack_mode","activation_kind":"toggle","range_cells":0,"target_move_tolerance_cells":0,"area_radius":0,"require_line_of_sight":false,"auto_priority":0,"auto_min_targets":0,"secondary_direction_offsets":[0],"secondary_distance_cells":2,"line_cells":0,"line_stop_on_blocked":false,"auto_enabled":false}</x:v>
      </x:c>
      <x:c r="H14" s="16"/>
      <x:c r="I14" s="16" t="n">
        <x:v>0</x:v>
      </x:c>
      <x:c r="J14" s="17" t="str">
        <x:v>{"cooldown_reduction_ms":0,"global_spell_ms":0,"action_ms":0,"delay_base_ms":0,"projectile_ms_per_cell":0,"secondary_impact_ms":0,"charge_window_ms":0,"line_step_ms":0}</x:v>
      </x:c>
      <x:c r="K14" s="17" t="str">
        <x:v>{"mp_base_cost":0,"mp_level_cost":0,"items":[],"material_item_id":0,"material_quantity":0}</x:v>
      </x:c>
      <x:c r="L14" s="17" t="str">
        <x:v>thrusting</x:v>
      </x:c>
      <x:c r="M14" s="17" t="str">
        <x:v>[]</x:v>
      </x:c>
      <x:c r="N14" s="17" t="str">
        <x:v>player_male.attack</x:v>
      </x:c>
      <x:c r="O14" s="17" t="str">
        <x:v>development_source_thrusting_v1</x:v>
      </x:c>
      <x:c r="P14" s="9" t="b">
        <x:v>0</x:v>
      </x:c>
      <x:c r="Q14" s="17" t="str">
        <x:v>candidate</x:v>
      </x:c>
      <x:c r="R14" s="18" t="str">
        <x:v>docs/战士攻击模式与方向技能实施边界.md；资料参考/crystal/Server/MirObjects/HumanObject.cs；MirEnvir/Map.cs与Envir.cs；Client/MirObjects/PlayerObject.cs源码候选</x:v>
      </x:c>
      <x:c r="S14" s="18" t="str">
        <x:v>development源码默认候选；基础行为逐项登记，学习/升级门槛沿Crystal Level1/2/3；书本=目标阶+1已定，页与书价候选；未认证目标1.80。战士不用Magic默认1800时钟，按普通攻击550动作/300前格受理；新自动优先级只是本作候选。；rule10显式auto_enabled保持已有普通自动选技候选行为；优先级0不表示关闭；被动、开关、充能不进入普通选技，烈火独立自动逻辑不变。</x:v>
      </x:c>
      <x:c r="T14" s="17" t="n">
        <x:v>3</x:v>
      </x:c>
      <x:c r="U14" s="17" t="n">
        <x:v>0</x:v>
      </x:c>
      <x:c r="V14" s="17" t="n">
        <x:v>3</x:v>
      </x:c>
      <x:c r="W14" s="17" t="str">
        <x:v>{"accuracy_per_level":0,"power_base":0,"power_bonus":0,"mpower_base":0,"mpower_bonus":0,"multiplier_base_ppm":250000,"multiplier_bonus_ppm":250000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15" ht="70" customHeight="1">
      <x:c r="A15" s="19" t="n">
        <x:v>25</x:v>
      </x:c>
      <x:c r="B15" s="17" t="str">
        <x:v>source_half_moon</x:v>
      </x:c>
      <x:c r="C15" s="17" t="str">
        <x:v>半月弯刀</x:v>
      </x:c>
      <x:c r="D15" s="16" t="n">
        <x:v>0</x:v>
      </x:c>
      <x:c r="E15" s="16" t="n">
        <x:v>26</x:v>
      </x:c>
      <x:c r="F15" s="17" t="str">
        <x:v>half_moon</x:v>
      </x:c>
      <x:c r="G15" s="17" t="str">
        <x:v>{"kind":"attack_mode","activation_kind":"toggle","range_cells":0,"target_move_tolerance_cells":0,"area_radius":0,"require_line_of_sight":false,"auto_priority":0,"auto_min_targets":0,"secondary_direction_offsets":[-1,1,2],"secondary_distance_cells":1,"line_cells":0,"line_stop_on_blocked":false,"auto_enabled":false}</x:v>
      </x:c>
      <x:c r="H15" s="16"/>
      <x:c r="I15" s="16" t="n">
        <x:v>0</x:v>
      </x:c>
      <x:c r="J15" s="17" t="str">
        <x:v>{"cooldown_reduction_ms":0,"global_spell_ms":0,"action_ms":0,"delay_base_ms":0,"projectile_ms_per_cell":0,"secondary_impact_ms":0,"charge_window_ms":0,"line_step_ms":0}</x:v>
      </x:c>
      <x:c r="K15" s="17" t="str">
        <x:v>{"mp_base_cost":3,"mp_level_cost":0,"items":[],"material_item_id":0,"material_quantity":0}</x:v>
      </x:c>
      <x:c r="L15" s="17" t="str">
        <x:v>half_moon</x:v>
      </x:c>
      <x:c r="M15" s="17" t="str">
        <x:v>[]</x:v>
      </x:c>
      <x:c r="N15" s="17" t="str">
        <x:v>player_male.attack</x:v>
      </x:c>
      <x:c r="O15" s="17" t="str">
        <x:v>development_source_half_moon_v1</x:v>
      </x:c>
      <x:c r="P15" s="9" t="b">
        <x:v>0</x:v>
      </x:c>
      <x:c r="Q15" s="17" t="str">
        <x:v>candidate</x:v>
      </x:c>
      <x:c r="R15" s="18" t="str">
        <x:v>docs/战士攻击模式与方向技能实施边界.md；资料参考/crystal/Server/MirObjects/HumanObject.cs；MirEnvir/Map.cs与Envir.cs；Client/MirObjects/PlayerObject.cs源码候选</x:v>
      </x:c>
      <x:c r="S15" s="18" t="str">
        <x:v>development源码默认候选；基础行为逐项登记，学习/升级门槛沿Crystal Level1/2/3；书本=目标阶+1已定，页与书价候选；未认证目标1.80。战士不用Magic默认1800时钟，按普通攻击550动作/300前格受理；新自动优先级只是本作候选。；rule10显式auto_enabled保持已有普通自动选技候选行为；优先级0不表示关闭；被动、开关、充能不进入普通选技，烈火独立自动逻辑不变。</x:v>
      </x:c>
      <x:c r="T15" s="17" t="n">
        <x:v>4</x:v>
      </x:c>
      <x:c r="U15" s="17" t="n">
        <x:v>0</x:v>
      </x:c>
      <x:c r="V15" s="17" t="n">
        <x:v>3</x:v>
      </x:c>
      <x:c r="W15" s="17" t="str">
        <x:v>{"accuracy_per_level":0,"power_base":0,"power_bonus":0,"mpower_base":0,"mpower_bonus":0,"multiplier_base_ppm":300000,"multiplier_bonus_ppm":100000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16" ht="70" customHeight="1">
      <x:c r="A16" s="19" t="n">
        <x:v>26</x:v>
      </x:c>
      <x:c r="B16" s="17" t="str">
        <x:v>source_flaming_sword</x:v>
      </x:c>
      <x:c r="C16" s="17" t="str">
        <x:v>烈火剑法</x:v>
      </x:c>
      <x:c r="D16" s="16" t="n">
        <x:v>0</x:v>
      </x:c>
      <x:c r="E16" s="16" t="n">
        <x:v>35</x:v>
      </x:c>
      <x:c r="F16" s="17" t="str">
        <x:v>flaming_sword</x:v>
      </x:c>
      <x:c r="G16" s="17" t="str">
        <x:v>{"kind":"attack_charge","activation_kind":"charge","range_cells":0,"target_move_tolerance_cells":0,"area_radius":0,"require_line_of_sight":false,"auto_priority":0,"auto_min_targets":0,"secondary_direction_offsets":[],"secondary_distance_cells":0,"line_cells":0,"line_stop_on_blocked":false,"auto_enabled":false}</x:v>
      </x:c>
      <x:c r="H16" s="16"/>
      <x:c r="I16" s="16" t="n">
        <x:v>0</x:v>
      </x:c>
      <x:c r="J16" s="17" t="str">
        <x:v>{"cooldown_reduction_ms":0,"global_spell_ms":0,"action_ms":0,"delay_base_ms":0,"projectile_ms_per_cell":0,"secondary_impact_ms":0,"charge_window_ms":10000,"line_step_ms":0}</x:v>
      </x:c>
      <x:c r="K16" s="17" t="str">
        <x:v>{"mp_base_cost":7,"mp_level_cost":0,"items":[],"material_item_id":0,"material_quantity":0}</x:v>
      </x:c>
      <x:c r="L16" s="17" t="str">
        <x:v>flaming_sword</x:v>
      </x:c>
      <x:c r="M16" s="17" t="str">
        <x:v>[]</x:v>
      </x:c>
      <x:c r="N16" s="17" t="str">
        <x:v>player_male.attack</x:v>
      </x:c>
      <x:c r="O16" s="17" t="str">
        <x:v>development_source_flaming_sword_v1</x:v>
      </x:c>
      <x:c r="P16" s="9" t="b">
        <x:v>0</x:v>
      </x:c>
      <x:c r="Q16" s="17" t="str">
        <x:v>candidate</x:v>
      </x:c>
      <x:c r="R16" s="18" t="str">
        <x:v>docs/战士攻击模式与方向技能实施边界.md；资料参考/crystal/Server/MirObjects/HumanObject.cs；MirEnvir/Map.cs与Envir.cs；Client/MirObjects/PlayerObject.cs源码候选</x:v>
      </x:c>
      <x:c r="S16" s="18" t="str">
        <x:v>development源码默认候选；基础行为逐项登记，学习/升级门槛沿Crystal Level1/2/3；书本=目标阶+1已定，页与书价候选；未认证目标1.80。战士不用Magic默认1800时钟，按普通攻击550动作/300前格受理；新自动优先级只是本作候选。；rule10显式auto_enabled保持已有普通自动选技候选行为；优先级0不表示关闭；被动、开关、充能不进入普通选技，烈火独立自动逻辑不变。</x:v>
      </x:c>
      <x:c r="T16" s="17" t="n">
        <x:v>6</x:v>
      </x:c>
      <x:c r="U16" s="17" t="n">
        <x:v>0</x:v>
      </x:c>
      <x:c r="V16" s="17" t="n">
        <x:v>3</x:v>
      </x:c>
      <x:c r="W16" s="17" t="str">
        <x:v>{"accuracy_per_level":0,"power_base":0,"power_bonus":0,"mpower_base":0,"mpower_bonus":0,"multiplier_base_ppm":1400000,"multiplier_bonus_ppm":400000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17" ht="70" customHeight="1">
      <x:c r="A17" s="19" t="n">
        <x:v>10</x:v>
      </x:c>
      <x:c r="B17" s="17" t="str">
        <x:v>source_lightning</x:v>
      </x:c>
      <x:c r="C17" s="17" t="str">
        <x:v>疾光电影</x:v>
      </x:c>
      <x:c r="D17" s="16" t="n">
        <x:v>1</x:v>
      </x:c>
      <x:c r="E17" s="16" t="n">
        <x:v>26</x:v>
      </x:c>
      <x:c r="F17" s="17" t="str">
        <x:v>lightning</x:v>
      </x:c>
      <x:c r="G17" s="17" t="str">
        <x:v>{"kind":"enemy_direction","activation_kind":"cast","range_cells":0,"target_move_tolerance_cells":0,"area_radius":0,"require_line_of_sight":false,"auto_priority":40,"auto_min_targets":2,"secondary_direction_offsets":[],"secondary_distance_cells":0,"line_cells":6,"line_stop_on_blocked":false,"auto_enabled":true}</x:v>
      </x:c>
      <x:c r="H17" s="16"/>
      <x:c r="I17" s="16" t="n">
        <x:v>1800</x:v>
      </x:c>
      <x:c r="J17" s="17" t="str">
        <x:v>{"cooldown_reduction_ms":0,"global_spell_ms":1800,"action_ms":600,"delay_base_ms":500,"projectile_ms_per_cell":0,"secondary_impact_ms":0,"charge_window_ms":0,"line_step_ms":0}</x:v>
      </x:c>
      <x:c r="K17" s="17" t="str">
        <x:v>{"mp_base_cost":38,"mp_level_cost":7,"items":[],"material_item_id":0,"material_quantity":0}</x:v>
      </x:c>
      <x:c r="L17" s="17" t="str">
        <x:v>lightning</x:v>
      </x:c>
      <x:c r="M17" s="17" t="str">
        <x:v>[]</x:v>
      </x:c>
      <x:c r="N17" s="17" t="str">
        <x:v>player_female.casting</x:v>
      </x:c>
      <x:c r="O17" s="17" t="str">
        <x:v>development_source_lightning_v1</x:v>
      </x:c>
      <x:c r="P17" s="9" t="b">
        <x:v>0</x:v>
      </x:c>
      <x:c r="Q17" s="17" t="str">
        <x:v>candidate</x:v>
      </x:c>
      <x:c r="R17" s="18" t="str">
        <x:v>docs/战士攻击模式与方向技能实施边界.md；资料参考/crystal/Server/MirObjects/HumanObject.cs；MirEnvir/Map.cs与Envir.cs；Client/MirObjects/PlayerObject.cs源码候选</x:v>
      </x:c>
      <x:c r="S17" s="18" t="str">
        <x:v>development源码默认候选；基础行为逐项登记，学习/升级门槛沿Crystal Level1/2/3；书本=目标阶+1已定，页与书价候选；未认证目标1.80。战士不用Magic默认1800时钟，按普通攻击550动作/300前格受理；新自动优先级只是本作候选。；rule10显式auto_enabled保持已有普通自动选技候选行为；优先级0不表示关闭；被动、开关、充能不进入普通选技，烈火独立自动逻辑不变。</x:v>
      </x:c>
      <x:c r="T17" s="17" t="n">
        <x:v>16</x:v>
      </x:c>
      <x:c r="U17" s="17" t="n">
        <x:v>0</x:v>
      </x:c>
      <x:c r="V17" s="17" t="n">
        <x:v>3</x:v>
      </x:c>
      <x:c r="W17" s="17" t="str">
        <x:v>{"accuracy_per_level":0,"power_base":12,"power_bonus":0,"mpower_base":12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18" ht="70" customHeight="1">
      <x:c r="A18" s="19" t="n">
        <x:v>33</x:v>
      </x:c>
      <x:c r="B18" s="17" t="str">
        <x:v>source_ice_storm</x:v>
      </x:c>
      <x:c r="C18" s="17" t="str">
        <x:v>冰咆哮</x:v>
      </x:c>
      <x:c r="D18" s="16" t="n">
        <x:v>1</x:v>
      </x:c>
      <x:c r="E18" s="16" t="n">
        <x:v>35</x:v>
      </x:c>
      <x:c r="F18" s="17" t="str">
        <x:v>ice_storm</x:v>
      </x:c>
      <x:c r="G18" s="17" t="str">
        <x:v>{"kind":"enemy_grid","activation_kind":"cast","range_cells":9,"target_move_tolerance_cells":0,"area_radius":1,"require_line_of_sight":false,"auto_priority":60,"auto_min_targets":2,"secondary_direction_offsets":[],"secondary_distance_cells":0,"line_cells":0,"line_stop_on_blocked":false,"auto_enabled":true}</x:v>
      </x:c>
      <x:c r="H18" s="16"/>
      <x:c r="I18" s="16" t="n">
        <x:v>1800</x:v>
      </x:c>
      <x:c r="J18" s="17" t="str">
        <x:v>{"cooldown_reduction_ms":0,"global_spell_ms":1800,"action_ms":600,"delay_base_ms":500,"projectile_ms_per_cell":0,"secondary_impact_ms":0,"charge_window_ms":0,"line_step_ms":0}</x:v>
      </x:c>
      <x:c r="K18" s="17" t="str">
        <x:v>{"mp_base_cost":33,"mp_level_cost":3,"items":[],"material_item_id":0,"material_quantity":0}</x:v>
      </x:c>
      <x:c r="L18" s="17" t="str">
        <x:v>ice_storm</x:v>
      </x:c>
      <x:c r="M18" s="17" t="str">
        <x:v>[]</x:v>
      </x:c>
      <x:c r="N18" s="17" t="str">
        <x:v>player_female.casting</x:v>
      </x:c>
      <x:c r="O18" s="17" t="str">
        <x:v>development_source_ice_storm_v1</x:v>
      </x:c>
      <x:c r="P18" s="9" t="b">
        <x:v>0</x:v>
      </x:c>
      <x:c r="Q18" s="17" t="str">
        <x:v>candidate</x:v>
      </x:c>
      <x:c r="R18" s="18" t="str">
        <x:v>docs/战士攻击模式与方向技能实施边界.md；资料参考/crystal/Server/MirObjects/HumanObject.cs；MirEnvir/Map.cs与Envir.cs；Client/MirObjects/PlayerObject.cs源码候选</x:v>
      </x:c>
      <x:c r="S18" s="18" t="str">
        <x:v>development源码默认候选；基础行为逐项登记，学习/升级门槛沿Crystal Level1/2/3；书本=目标阶+1已定，页与书价候选；未认证目标1.80。战士不用Magic默认1800时钟，按普通攻击550动作/300前格受理；新自动优先级只是本作候选。；rule10显式auto_enabled保持已有普通自动选技候选行为；优先级0不表示关闭；被动、开关、充能不进入普通选技，烈火独立自动逻辑不变。</x:v>
      </x:c>
      <x:c r="T18" s="17" t="n">
        <x:v>20</x:v>
      </x:c>
      <x:c r="U18" s="17" t="n">
        <x:v>0</x:v>
      </x:c>
      <x:c r="V18" s="17" t="n">
        <x:v>3</x:v>
      </x:c>
      <x:c r="W18" s="17" t="str">
        <x:v>{"accuracy_per_level":0,"power_base":14,"power_bonus":0,"mpower_base":12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19" ht="70" customHeight="1">
      <x:c r="A19" s="19" t="n">
        <x:v>24</x:v>
      </x:c>
      <x:c r="B19" s="17" t="str">
        <x:v>source_thunder_storm</x:v>
      </x:c>
      <x:c r="C19" s="17" t="str">
        <x:v>地狱雷光</x:v>
      </x:c>
      <x:c r="D19" s="16" t="n">
        <x:v>1</x:v>
      </x:c>
      <x:c r="E19" s="16" t="n">
        <x:v>30</x:v>
      </x:c>
      <x:c r="F19" s="17" t="str">
        <x:v>thunder_storm</x:v>
      </x:c>
      <x:c r="G19" s="17" t="str">
        <x:v>{"kind":"enemy_self","activation_kind":"cast","range_cells":0,"target_move_tolerance_cells":0,"area_radius":2,"require_line_of_sight":false,"auto_priority":50,"auto_min_targets":2,"secondary_direction_offsets":[],"secondary_distance_cells":0,"line_cells":0,"line_stop_on_blocked":false,"auto_enabled":true}</x:v>
      </x:c>
      <x:c r="H19" s="16"/>
      <x:c r="I19" s="16" t="n">
        <x:v>1800</x:v>
      </x:c>
      <x:c r="J19" s="17" t="str">
        <x:v>{"cooldown_reduction_ms":0,"global_spell_ms":1800,"action_ms":600,"delay_base_ms":500,"projectile_ms_per_cell":0,"secondary_impact_ms":0,"charge_window_ms":0,"line_step_ms":0}</x:v>
      </x:c>
      <x:c r="K19" s="17" t="str">
        <x:v>{"mp_base_cost":29,"mp_level_cost":9,"items":[],"material_item_id":0,"material_quantity":0}</x:v>
      </x:c>
      <x:c r="L19" s="17" t="str">
        <x:v>thunder_storm</x:v>
      </x:c>
      <x:c r="M19" s="17" t="str">
        <x:v>[]</x:v>
      </x:c>
      <x:c r="N19" s="17" t="str">
        <x:v>player_female.casting</x:v>
      </x:c>
      <x:c r="O19" s="17" t="str">
        <x:v>development_source_thunder_storm_v1</x:v>
      </x:c>
      <x:c r="P19" s="9" t="b">
        <x:v>0</x:v>
      </x:c>
      <x:c r="Q19" s="17" t="str">
        <x:v>candidate</x:v>
      </x:c>
      <x:c r="R19" s="18" t="str">
        <x:v>docs/战士攻击模式与方向技能实施边界.md；资料参考/crystal/Server/MirObjects/HumanObject.cs；MirEnvir/Map.cs与Envir.cs；Client/MirObjects/PlayerObject.cs源码候选</x:v>
      </x:c>
      <x:c r="S19" s="18" t="str">
        <x:v>development源码默认候选；基础行为逐项登记，学习/升级门槛沿Crystal Level1/2/3；书本=目标阶+1已定，页与书价候选；未认证目标1.80。战士不用Magic默认1800时钟，按普通攻击550动作/300前格受理；新自动优先级只是本作候选。；rule10显式auto_enabled保持已有普通自动选技候选行为；优先级0不表示关闭；被动、开关、充能不进入普通选技，烈火独立自动逻辑不变。</x:v>
      </x:c>
      <x:c r="T19" s="17" t="n">
        <x:v>17</x:v>
      </x:c>
      <x:c r="U19" s="17" t="n">
        <x:v>0</x:v>
      </x:c>
      <x:c r="V19" s="17" t="n">
        <x:v>3</x:v>
      </x:c>
      <x:c r="W19" s="17" t="str">
        <x:v>{"accuracy_per_level":0,"power_base":10,"power_bonus":20,"mpower_base":10,"mpower_bonus":20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10}</x:v>
      </x:c>
    </x:row>
    <x:row r="20" ht="70" customHeight="1">
      <x:c r="A20" s="19" t="n">
        <x:v>9</x:v>
      </x:c>
      <x:c r="B20" s="17" t="str">
        <x:v>source_hell_fire</x:v>
      </x:c>
      <x:c r="C20" s="17" t="str">
        <x:v>地狱火</x:v>
      </x:c>
      <x:c r="D20" s="16" t="n">
        <x:v>1</x:v>
      </x:c>
      <x:c r="E20" s="16" t="n">
        <x:v>16</x:v>
      </x:c>
      <x:c r="F20" s="17" t="str">
        <x:v>hell_fire</x:v>
      </x:c>
      <x:c r="G20" s="17" t="str">
        <x:v>{"kind":"enemy_direction","activation_kind":"cast","range_cells":0,"target_move_tolerance_cells":0,"area_radius":0,"require_line_of_sight":false,"auto_priority":35,"auto_min_targets":2,"secondary_direction_offsets":[],"secondary_distance_cells":0,"line_cells":4,"line_stop_on_blocked":true,"auto_enabled":true}</x:v>
      </x:c>
      <x:c r="H20" s="16"/>
      <x:c r="I20" s="16" t="n">
        <x:v>1800</x:v>
      </x:c>
      <x:c r="J20" s="17" t="str">
        <x:v>{"cooldown_reduction_ms":0,"global_spell_ms":1800,"action_ms":600,"delay_base_ms":500,"projectile_ms_per_cell":0,"secondary_impact_ms":0,"charge_window_ms":0,"line_step_ms":100}</x:v>
      </x:c>
      <x:c r="K20" s="17" t="str">
        <x:v>{"mp_base_cost":10,"mp_level_cost":3,"items":[],"material_item_id":0,"material_quantity":0}</x:v>
      </x:c>
      <x:c r="L20" s="17" t="str">
        <x:v>hell_fire</x:v>
      </x:c>
      <x:c r="M20" s="17" t="str">
        <x:v>[]</x:v>
      </x:c>
      <x:c r="N20" s="17" t="str">
        <x:v>player_female.casting</x:v>
      </x:c>
      <x:c r="O20" s="17" t="str">
        <x:v>development_source_hell_fire_fixed_four_v1</x:v>
      </x:c>
      <x:c r="P20" s="9" t="b">
        <x:v>0</x:v>
      </x:c>
      <x:c r="Q20" s="17" t="str">
        <x:v>candidate</x:v>
      </x:c>
      <x:c r="R20" s="18" t="str">
        <x:v>用户2026-10-27审定地狱火所有阶固定正前4格；docs/战士攻击模式与方向技能实施边界.md；Crystal HumanObject.cs:4103–4118/Map.cs:875–910默认候选</x:v>
      </x:c>
      <x:c r="S20" s="18" t="str">
        <x:v>形状按用户已定：rank0–3均正前4格，明确不采用源rank3左右射线；MP/威力/门槛/书价仍源码开发候选。首格500，后格实际处理时钟+100，阻挡break，同对象可跨格再次受击；不是整cast去重。；rule10显式auto_enabled保持已有普通自动选技候选行为；优先级0不表示关闭；被动、开关、充能不进入普通选技，烈火独立自动逻辑不变。</x:v>
      </x:c>
      <x:c r="T20" s="17" t="n">
        <x:v>10</x:v>
      </x:c>
      <x:c r="U20" s="17" t="n">
        <x:v>0</x:v>
      </x:c>
      <x:c r="V20" s="17" t="n">
        <x:v>3</x:v>
      </x:c>
      <x:c r="W20" s="17" t="str">
        <x:v>{"accuracy_per_level":0,"power_base":6,"power_bonus":0,"mpower_base":14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21" ht="56" customHeight="1">
      <x:c r="A21" s="19" t="n">
        <x:v>14</x:v>
      </x:c>
      <x:c r="B21" s="17" t="str">
        <x:v>source_soul_shield</x:v>
      </x:c>
      <x:c r="C21" s="17" t="str">
        <x:v>幽灵盾</x:v>
      </x:c>
      <x:c r="D21" s="16" t="n">
        <x:v>2</x:v>
      </x:c>
      <x:c r="E21" s="16" t="n">
        <x:v>22</x:v>
      </x:c>
      <x:c r="F21" s="17" t="str">
        <x:v>soul_shield</x:v>
      </x:c>
      <x:c r="G21" s="17" t="str">
        <x:v>{"kind":"friendly_grid","range_cells":9,"target_move_tolerance_cells":0,"area_radius":3,"require_line_of_sight":false,"auto_priority":6,"auto_min_targets":1,"secondary_direction_offsets":[],"secondary_distance_cells":0,"line_cells":0,"line_stop_on_blocked":false,"activation_kind":"cast","auto_enabled":true}</x:v>
      </x:c>
      <x:c r="H21" s="16"/>
      <x:c r="I21" s="16" t="n">
        <x:v>1800</x:v>
      </x:c>
      <x:c r="J21" s="17" t="str">
        <x:v>{"cooldown_reduction_ms":0,"global_spell_ms":1800,"action_ms":600,"delay_base_ms":500,"projectile_ms_per_cell":50,"secondary_impact_ms":0,"charge_window_ms":0,"line_step_ms":0}</x:v>
      </x:c>
      <x:c r="K21" s="17" t="str">
        <x:v>{"mp_base_cost":2,"mp_level_cost":2,"items":[],"material_item_id":187,"material_quantity":1}</x:v>
      </x:c>
      <x:c r="L21" s="17" t="str">
        <x:v>soul_shield</x:v>
      </x:c>
      <x:c r="M21" s="17" t="str">
        <x:v>[14]</x:v>
      </x:c>
      <x:c r="N21" s="17" t="str">
        <x:v>player_male.casting</x:v>
      </x:c>
      <x:c r="O21" s="17" t="str">
        <x:v>development_source_soul_shield_v1</x:v>
      </x:c>
      <x:c r="P21" s="9" t="b">
        <x:v>0</x:v>
      </x:c>
      <x:c r="Q21" s="17" t="str">
        <x:v>candidate</x:v>
      </x:c>
      <x:c r="R21" s="18" t="str">
        <x:v>docs/战斗状态与防御技能实施边界.md；资料参考/crystal/Server/MirObjects/HumanObject.cs与MirEnvir/Map.cs；开发候选，非目标1.80认证</x:v>
      </x:c>
      <x:c r="S21" s="18" t="str">
        <x:v>源码防御分支开发候选；0至3阶，不启用随机练功。目标范围、死亡/重施/离散时钟以实施边界登记；自动优先级为本作候选。护符包单位待用户决定，未确认时永久材料入口关闭。；rule10显式auto_enabled保持已有普通自动选技候选行为；优先级0不表示关闭；被动、开关、充能不进入普通选技，烈火独立自动逻辑不变。</x:v>
      </x:c>
      <x:c r="T21" s="17" t="n">
        <x:v>28</x:v>
      </x:c>
      <x:c r="U21" s="17" t="n">
        <x:v>0</x:v>
      </x:c>
      <x:c r="V21" s="17" t="n">
        <x:v>3</x:v>
      </x:c>
      <x:c r="W21" s="17" t="str">
        <x:v>{"accuracy_per_level":0,"power_base":0,"power_bonus":0,"mpower_base":0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22" ht="56" customHeight="1">
      <x:c r="A22" s="19" t="n">
        <x:v>15</x:v>
      </x:c>
      <x:c r="B22" s="17" t="str">
        <x:v>source_blessed_armour</x:v>
      </x:c>
      <x:c r="C22" s="17" t="str">
        <x:v>神圣战甲术</x:v>
      </x:c>
      <x:c r="D22" s="16" t="n">
        <x:v>2</x:v>
      </x:c>
      <x:c r="E22" s="16" t="n">
        <x:v>25</x:v>
      </x:c>
      <x:c r="F22" s="17" t="str">
        <x:v>blessed_armour</x:v>
      </x:c>
      <x:c r="G22" s="17" t="str">
        <x:v>{"kind":"friendly_grid","range_cells":9,"target_move_tolerance_cells":0,"area_radius":3,"require_line_of_sight":false,"auto_priority":7,"auto_min_targets":1,"secondary_direction_offsets":[],"secondary_distance_cells":0,"line_cells":0,"line_stop_on_blocked":false,"activation_kind":"cast","auto_enabled":true}</x:v>
      </x:c>
      <x:c r="H22" s="16"/>
      <x:c r="I22" s="16" t="n">
        <x:v>1800</x:v>
      </x:c>
      <x:c r="J22" s="17" t="str">
        <x:v>{"cooldown_reduction_ms":0,"global_spell_ms":1800,"action_ms":600,"delay_base_ms":500,"projectile_ms_per_cell":50,"secondary_impact_ms":0,"charge_window_ms":0,"line_step_ms":0}</x:v>
      </x:c>
      <x:c r="K22" s="17" t="str">
        <x:v>{"mp_base_cost":2,"mp_level_cost":2,"items":[],"material_item_id":187,"material_quantity":1}</x:v>
      </x:c>
      <x:c r="L22" s="17" t="str">
        <x:v>blessed_armour</x:v>
      </x:c>
      <x:c r="M22" s="17" t="str">
        <x:v>[15]</x:v>
      </x:c>
      <x:c r="N22" s="17" t="str">
        <x:v>player_male.casting</x:v>
      </x:c>
      <x:c r="O22" s="17" t="str">
        <x:v>development_source_blessed_armour_v1</x:v>
      </x:c>
      <x:c r="P22" s="9" t="b">
        <x:v>0</x:v>
      </x:c>
      <x:c r="Q22" s="17" t="str">
        <x:v>candidate</x:v>
      </x:c>
      <x:c r="R22" s="18" t="str">
        <x:v>docs/战斗状态与防御技能实施边界.md；资料参考/crystal/Server/MirObjects/HumanObject.cs与MirEnvir/Map.cs；开发候选，非目标1.80认证</x:v>
      </x:c>
      <x:c r="S22" s="18" t="str">
        <x:v>源码防御分支开发候选；0至3阶，不启用随机练功。目标范围、死亡/重施/离散时钟以实施边界登记；自动优先级为本作候选。护符包单位待用户决定，未确认时永久材料入口关闭。；rule10显式auto_enabled保持已有普通自动选技候选行为；优先级0不表示关闭；被动、开关、充能不进入普通选技，烈火独立自动逻辑不变。</x:v>
      </x:c>
      <x:c r="T22" s="17" t="n">
        <x:v>29</x:v>
      </x:c>
      <x:c r="U22" s="17" t="n">
        <x:v>0</x:v>
      </x:c>
      <x:c r="V22" s="17" t="n">
        <x:v>3</x:v>
      </x:c>
      <x:c r="W22" s="17" t="str">
        <x:v>{"accuracy_per_level":0,"power_base":0,"power_bonus":0,"mpower_base":0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23" ht="56" customHeight="1">
      <x:c r="A23" s="19" t="n">
        <x:v>31</x:v>
      </x:c>
      <x:c r="B23" s="17" t="str">
        <x:v>source_magic_shield</x:v>
      </x:c>
      <x:c r="C23" s="17" t="str">
        <x:v>魔法盾</x:v>
      </x:c>
      <x:c r="D23" s="16" t="n">
        <x:v>1</x:v>
      </x:c>
      <x:c r="E23" s="16" t="n">
        <x:v>31</x:v>
      </x:c>
      <x:c r="F23" s="17" t="str">
        <x:v>magic_shield</x:v>
      </x:c>
      <x:c r="G23" s="17" t="str">
        <x:v>{"kind":"friendly_self","range_cells":0,"target_move_tolerance_cells":0,"area_radius":0,"require_line_of_sight":false,"auto_priority":5,"auto_min_targets":1,"secondary_direction_offsets":[],"secondary_distance_cells":0,"line_cells":0,"line_stop_on_blocked":false,"activation_kind":"cast","auto_enabled":true}</x:v>
      </x:c>
      <x:c r="H23" s="16"/>
      <x:c r="I23" s="16" t="n">
        <x:v>1800</x:v>
      </x:c>
      <x:c r="J23" s="17" t="str">
        <x:v>{"cooldown_reduction_ms":0,"global_spell_ms":1800,"action_ms":600,"delay_base_ms":500,"projectile_ms_per_cell":0,"secondary_impact_ms":0,"charge_window_ms":0,"line_step_ms":0}</x:v>
      </x:c>
      <x:c r="K23" s="17" t="str">
        <x:v>{"mp_base_cost":35,"mp_level_cost":5,"items":[],"material_item_id":0,"material_quantity":0}</x:v>
      </x:c>
      <x:c r="L23" s="17" t="str">
        <x:v>magic_shield</x:v>
      </x:c>
      <x:c r="M23" s="17" t="str">
        <x:v>[31]</x:v>
      </x:c>
      <x:c r="N23" s="17" t="str">
        <x:v>player_female.casting</x:v>
      </x:c>
      <x:c r="O23" s="17" t="str">
        <x:v>development_source_magic_shield_v1</x:v>
      </x:c>
      <x:c r="P23" s="9" t="b">
        <x:v>0</x:v>
      </x:c>
      <x:c r="Q23" s="17" t="str">
        <x:v>candidate</x:v>
      </x:c>
      <x:c r="R23" s="18" t="str">
        <x:v>docs/战斗状态与防御技能实施边界.md；资料参考/crystal/Server/MirObjects/HumanObject.cs与MirEnvir/Map.cs；开发候选，非目标1.80认证</x:v>
      </x:c>
      <x:c r="S23" s="18" t="str">
        <x:v>源码防御分支开发候选；0至3阶，不启用随机练功。目标范围、死亡/重施/离散时钟以实施边界登记；自动优先级为本作候选。护符包单位待用户决定，未确认时永久材料入口关闭。；rule10显式auto_enabled保持已有普通自动选技候选行为；优先级0不表示关闭；被动、开关、充能不进入普通选技，烈火独立自动逻辑不变。</x:v>
      </x:c>
      <x:c r="T23" s="17" t="n">
        <x:v>18</x:v>
      </x:c>
      <x:c r="U23" s="17" t="n">
        <x:v>0</x:v>
      </x:c>
      <x:c r="V23" s="17" t="n">
        <x:v>3</x:v>
      </x:c>
      <x:c r="W23" s="17" t="str">
        <x:v>{"accuracy_per_level":0,"power_base":0,"power_bonus":0,"mpower_base":0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24" ht="56" customHeight="1">
      <x:c r="A24" s="19">
        <x:v>8</x:v>
      </x:c>
      <x:c r="B24" s="17" t="inlineStr">
        <x:is>
          <x:t xml:space="preserve">source_repulsion</x:t>
        </x:is>
      </x:c>
      <x:c r="C24" s="17" t="inlineStr">
        <x:is>
          <x:t xml:space="preserve">抗拒火环</x:t>
        </x:is>
      </x:c>
      <x:c r="D24" s="16">
        <x:v>1</x:v>
      </x:c>
      <x:c r="E24" s="16">
        <x:v>12</x:v>
      </x:c>
      <x:c r="F24" s="17" t="inlineStr">
        <x:is>
          <x:t xml:space="preserve">repulsion</x:t>
        </x:is>
      </x:c>
      <x:c r="G24" s="17" t="inlineStr">
        <x:is>
          <x:t xml:space="preserve">{"kind":"enemy_self","range_cells":0,"target_move_tolerance_cells":0,"area_radius":1,"require_line_of_sight":false,"auto_priority":0,"auto_min_targets":1,"secondary_direction_offsets":[],"secondary_distance_cells":0,"line_cells":0,"line_stop_on_blocked":false,"activation_kind":"cast","auto_enabled":false,"displacement":{"distance_base_by_level":[1,1,2,3],"distance_random_bound":2,"success_denominator":20,"success_base":6,"success_per_level":3,"step_display_ms":300}}</x:t>
        </x:is>
      </x:c>
      <x:c r="H24" s="16"/>
      <x:c r="I24" s="16">
        <x:v>1800</x:v>
      </x:c>
      <x:c r="J24" s="17" t="inlineStr">
        <x:is>
          <x:t xml:space="preserve">{"cooldown_reduction_ms":0,"global_spell_ms":1800,"action_ms":600,"delay_base_ms":0,"projectile_ms_per_cell":0,"secondary_impact_ms":0,"charge_window_ms":0,"line_step_ms":0}</x:t>
        </x:is>
      </x:c>
      <x:c r="K24" s="17" t="inlineStr">
        <x:is>
          <x:t xml:space="preserve">{"mp_base_cost":2,"mp_level_cost":2,"items":[],"material_item_id":0,"material_quantity":0}</x:t>
        </x:is>
      </x:c>
      <x:c r="L24" s="17" t="inlineStr">
        <x:is>
          <x:t xml:space="preserve">repulsion</x:t>
        </x:is>
      </x:c>
      <x:c r="M24" s="17" t="inlineStr">
        <x:is>
          <x:t xml:space="preserve">[]</x:t>
        </x:is>
      </x:c>
      <x:c r="N24" s="17" t="inlineStr">
        <x:is>
          <x:t xml:space="preserve">player_female.casting</x:t>
        </x:is>
      </x:c>
      <x:c r="O24" s="17" t="inlineStr">
        <x:is>
          <x:t xml:space="preserve">source_displacement_8_v1</x:t>
        </x:is>
      </x:c>
      <x:c r="P24" s="9" t="b">
        <x:v>0</x:v>
      </x:c>
      <x:c r="Q24" s="17" t="inlineStr">
        <x:is>
          <x:t xml:space="preserve">candidate</x:t>
        </x:is>
      </x:c>
      <x:c r="R24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S24" s="18" t="inlineStr">
        <x:is>
          <x:t xml:space="preserve">逐阶距离已由用户选择；其余数值为源码开发候选。手动施放，自动显式关闭；怪物抗拒不受伤，野蛮只在结束时对首目标一次Defence.None；不启用练功、PK或来源账号数据。</x:t>
        </x:is>
      </x:c>
      <x:c r="T24" s="17">
        <x:v>8</x:v>
      </x:c>
      <x:c r="U24" s="17">
        <x:v>0</x:v>
      </x:c>
      <x:c r="V24" s="17">
        <x:v>3</x:v>
      </x:c>
      <x:c r="W24" s="17" t="inlineStr">
        <x:is>
          <x:t xml:space="preserve">{"accuracy_per_level":0,"power_base":0,"power_bonus":0,"mpower_base":4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t>
        </x:is>
      </x:c>
    </x:row>
    <x:row r="25" ht="56" customHeight="1">
      <x:c r="A25" s="19">
        <x:v>27</x:v>
      </x:c>
      <x:c r="B25" s="17" t="inlineStr">
        <x:is>
          <x:t xml:space="preserve">source_shoulder_dash</x:t>
        </x:is>
      </x:c>
      <x:c r="C25" s="17" t="inlineStr">
        <x:is>
          <x:t xml:space="preserve">野蛮冲撞</x:t>
        </x:is>
      </x:c>
      <x:c r="D25" s="16">
        <x:v>0</x:v>
      </x:c>
      <x:c r="E25" s="16">
        <x:v>30</x:v>
      </x:c>
      <x:c r="F25" s="17" t="inlineStr">
        <x:is>
          <x:t xml:space="preserve">shoulder_dash</x:t>
        </x:is>
      </x:c>
      <x:c r="G25" s="17" t="inlineStr">
        <x:is>
          <x:t xml:space="preserve">{"kind":"enemy_direction","range_cells":0,"target_move_tolerance_cells":0,"area_radius":0,"require_line_of_sight":false,"auto_priority":0,"auto_min_targets":1,"secondary_direction_offsets":[],"secondary_distance_cells":0,"line_cells":0,"line_stop_on_blocked":false,"activation_kind":"cast","auto_enabled":false,"displacement":{"distance_base_by_level":[2,3,4,5],"distance_random_bound":2,"success_denominator":0,"success_base":0,"success_per_level":0,"step_display_ms":300}}</x:t>
        </x:is>
      </x:c>
      <x:c r="H25" s="16"/>
      <x:c r="I25" s="16">
        <x:v>2500</x:v>
      </x:c>
      <x:c r="J25" s="17" t="inlineStr">
        <x:is>
          <x:t xml:space="preserve">{"cooldown_reduction_ms":0,"global_spell_ms":1800,"action_ms":600,"delay_base_ms":0,"projectile_ms_per_cell":0,"secondary_impact_ms":0,"charge_window_ms":0,"line_step_ms":0}</x:t>
        </x:is>
      </x:c>
      <x:c r="K25" s="17" t="inlineStr">
        <x:is>
          <x:t xml:space="preserve">{"mp_base_cost":4,"mp_level_cost":4,"items":[],"material_item_id":0,"material_quantity":0}</x:t>
        </x:is>
      </x:c>
      <x:c r="L25" s="17" t="inlineStr">
        <x:is>
          <x:t xml:space="preserve">shoulder_dash</x:t>
        </x:is>
      </x:c>
      <x:c r="M25" s="17" t="inlineStr">
        <x:is>
          <x:t xml:space="preserve">[]</x:t>
        </x:is>
      </x:c>
      <x:c r="N25" s="17" t="inlineStr">
        <x:is>
          <x:t xml:space="preserve">player_male.running</x:t>
        </x:is>
      </x:c>
      <x:c r="O25" s="17" t="inlineStr">
        <x:is>
          <x:t xml:space="preserve">source_displacement_27_v1</x:t>
        </x:is>
      </x:c>
      <x:c r="P25" s="9" t="b">
        <x:v>0</x:v>
      </x:c>
      <x:c r="Q25" s="17" t="inlineStr">
        <x:is>
          <x:t xml:space="preserve">candidate</x:t>
        </x:is>
      </x:c>
      <x:c r="R25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S25" s="18" t="inlineStr">
        <x:is>
          <x:t xml:space="preserve">逐阶距离已由用户选择；其余数值为源码开发候选。手动施放，自动显式关闭；怪物抗拒不受伤，野蛮只在结束时对首目标一次Defence.None；不启用练功、PK或来源账号数据。</x:t>
        </x:is>
      </x:c>
      <x:c r="T25" s="17">
        <x:v>5</x:v>
      </x:c>
      <x:c r="U25" s="17">
        <x:v>0</x:v>
      </x:c>
      <x:c r="V25" s="17">
        <x:v>3</x:v>
      </x:c>
      <x:c r="W25" s="17" t="inlineStr">
        <x:is>
          <x:t xml:space="preserve">{"accuracy_per_level":0,"power_base":0,"power_bonus":0,"mpower_base":4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t>
        </x:is>
      </x:c>
    </x:row>
    <x:row r="26" ht="56" customHeight="1">
      <x:c r="A26" s="19">
        <x:v>21</x:v>
      </x:c>
      <x:c r="B26" s="17" t="inlineStr">
        <x:is>
          <x:t xml:space="preserve">source_teleport</x:t>
        </x:is>
      </x:c>
      <x:c r="C26" s="17" t="inlineStr">
        <x:is>
          <x:t xml:space="preserve">瞬息移动</x:t>
        </x:is>
      </x:c>
      <x:c r="D26" s="16">
        <x:v>1</x:v>
      </x:c>
      <x:c r="E26" s="16">
        <x:v>19</x:v>
      </x:c>
      <x:c r="F26" s="17" t="inlineStr">
        <x:is>
          <x:t xml:space="preserve">teleport</x:t>
        </x:is>
      </x:c>
      <x:c r="G26" s="17" t="inlineStr">
        <x:is>
          <x:t xml:space="preserve">{"kind":"friendly_self","range_cells":0,"target_move_tolerance_cells":0,"area_radius":0,"require_line_of_sight":false,"auto_priority":0,"auto_min_targets":1,"secondary_direction_offsets":[],"secondary_distance_cells":0,"line_cells":0,"line_stop_on_blocked":false,"activation_kind":"cast","auto_enabled":false,"teleport":{"max_attempts":200,"axis_rule":"map_dimension_divided_by_rank_plus_one","landing_rule":"source_static_walk","allow_occupied":true,"allow_accepted_dead":true,"check_source_map_at_due":true}}</x:t>
        </x:is>
      </x:c>
      <x:c r="H26" s="16"/>
      <x:c r="I26" s="16">
        <x:v>1800</x:v>
      </x:c>
      <x:c r="J26" s="17" t="inlineStr">
        <x:is>
          <x:t xml:space="preserve">{"cooldown_reduction_ms":0,"global_spell_ms":1800,"action_ms":600,"delay_base_ms":200,"projectile_ms_per_cell":0,"secondary_impact_ms":0,"charge_window_ms":0,"line_step_ms":0}</x:t>
        </x:is>
      </x:c>
      <x:c r="K26" s="17" t="inlineStr">
        <x:is>
          <x:t xml:space="preserve">{"mp_base_cost":10,"mp_level_cost":3,"items":[],"material_item_id":0,"material_quantity":0}</x:t>
        </x:is>
      </x:c>
      <x:c r="L26" s="17" t="inlineStr">
        <x:is>
          <x:t xml:space="preserve">teleport</x:t>
        </x:is>
      </x:c>
      <x:c r="M26" s="17" t="inlineStr">
        <x:is>
          <x:t xml:space="preserve">[21]</x:t>
        </x:is>
      </x:c>
      <x:c r="N26" s="17" t="inlineStr">
        <x:is>
          <x:t xml:space="preserve">player_female.casting</x:t>
        </x:is>
      </x:c>
      <x:c r="O26" s="17" t="inlineStr">
        <x:is>
          <x:t xml:space="preserve">source_teleport_21_v1</x:t>
        </x:is>
      </x:c>
      <x:c r="P26" s="9" t="b">
        <x:v>0</x:v>
      </x:c>
      <x:c r="Q26" s="17" t="inlineStr">
        <x:is>
          <x:t xml:space="preserve">candidate</x:t>
        </x:is>
      </x:c>
      <x:c r="R26" s="18" t="inlineStr">
        <x:is>
          <x:t xml:space="preserve">用户先城镇/安全区与绑定后推进21路线；rule15源码开发候选；Crystal Server/MirEnvir/Envir.cs:654–656、MirDatabase/MagicInfo.cs:18,219–221、MirObjects/HumanObject.cs:186,3375–3397,3424–3451,3537–3540,6096–6107、MirObjects/PlayerObject.cs:4633–4647；非目标1.80完整认证</x:t>
        </x:is>
      </x:c>
      <x:c r="S26" s="18" t="inlineStr">
        <x:is>
          <x:t xml:space="preserve">绑定地图完整尺寸随机，200ms到期200次独立尝试；静态Walk允许动态占格且不额外关门。仅手动；新施法死者拒绝，已受理同Life未Despawn者可尸体成功传送且保持HP0。失败不退MP、不加Flux。目标1.80仍未认证。</x:t>
        </x:is>
      </x:c>
      <x:c r="T26" s="17">
        <x:v>13</x:v>
      </x:c>
      <x:c r="U26" s="17">
        <x:v>0</x:v>
      </x:c>
      <x:c r="V26" s="17">
        <x:v>3</x:v>
      </x:c>
      <x:c r="W26" s="17" t="inlineStr">
        <x:is>
          <x:t xml:space="preserve">{"accuracy_per_level":0,"power_base":0,"power_bonus":0,"mpower_base":0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t>
        </x:is>
      </x:c>
    </x:row>
    <x:row r="27" ht="56" customHeight="1">
      <x:c r="A27" s="19">
        <x:v>17</x:v>
      </x:c>
      <x:c r="B27" s="17" t="inlineStr">
        <x:is>
          <x:t xml:space="preserve">source_summon_skeleton</x:t>
        </x:is>
      </x:c>
      <x:c r="C27" s="17" t="inlineStr">
        <x:is>
          <x:t xml:space="preserve">召唤骷髅</x:t>
        </x:is>
      </x:c>
      <x:c r="D27" s="16">
        <x:v>2</x:v>
      </x:c>
      <x:c r="E27" s="16">
        <x:v>19</x:v>
      </x:c>
      <x:c r="F27" s="17" t="inlineStr">
        <x:is>
          <x:t xml:space="preserve">summon_pet</x:t>
        </x:is>
      </x:c>
      <x:c r="G27" s="17" t="inlineStr">
        <x:is>
          <x:t xml:space="preserve">{"kind":"friendly_self","range_cells":0,"target_move_tolerance_cells":0,"area_radius":0,"require_line_of_sight":false,"auto_priority":0,"auto_min_targets":0,"secondary_direction_offsets":[],"secondary_distance_cells":0,"line_cells":0,"line_stop_on_blocked":false,"activation_kind":"cast","auto_enabled":false,"summon":{"definition_id":1}}</x:t>
        </x:is>
      </x:c>
      <x:c r="H27" s="16"/>
      <x:c r="I27" s="16">
        <x:v>1800</x:v>
      </x:c>
      <x:c r="J27" s="17" t="inlineStr">
        <x:is>
          <x:t xml:space="preserve">{"cooldown_reduction_ms":0,"global_spell_ms":1800,"action_ms":600,"delay_base_ms":500,"projectile_ms_per_cell":0,"secondary_impact_ms":0,"charge_window_ms":0,"line_step_ms":0}</x:t>
        </x:is>
      </x:c>
      <x:c r="K27" s="17" t="inlineStr">
        <x:is>
          <x:t xml:space="preserve">{"mp_base_cost":12,"mp_level_cost":4,"items":[],"material_item_id":187,"material_quantity":1}</x:t>
        </x:is>
      </x:c>
      <x:c r="L27" s="17" t="inlineStr">
        <x:is>
          <x:t xml:space="preserve">summon_pet</x:t>
        </x:is>
      </x:c>
      <x:c r="M27" s="17" t="inlineStr">
        <x:is>
          <x:t xml:space="preserve">[]</x:t>
        </x:is>
      </x:c>
      <x:c r="N27" s="17" t="inlineStr">
        <x:is>
          <x:t xml:space="preserve">player_male.casting</x:t>
        </x:is>
      </x:c>
      <x:c r="O27" s="17" t="inlineStr">
        <x:is>
          <x:t xml:space="preserve">development_source_summon_skeleton_v1</x:t>
        </x:is>
      </x:c>
      <x:c r="P27" s="9" t="b">
        <x:v>0</x:v>
      </x:c>
      <x:c r="Q27" s="17" t="inlineStr">
        <x:is>
          <x:t xml:space="preserve">candidate</x:t>
        </x:is>
      </x:c>
      <x:c r="R27" s="18" t="inlineStr">
        <x:is>
          <x:t xml:space="preserve">本任务rule17关闭的开发候选；MYF ApexM2_Magic.csv:18技能17、ApexM2_stditems.csv:27书25；Crystal MirEnvir/Envir.cs:997–1012 MP12+4/range0/learn19；HumanObject.cs:3424–3451,4399–4438；MagicInfo.cs:18默认CD1800；不是MYF16困魔咒，不认证原服部署</x:t>
        </x:is>
      </x:c>
      <x:c r="S27" s="18" t="inlineStr">
        <x:is>
          <x:t xml:space="preserve">仅独立候选；同名存活有居民节点先Recall且不耗符，新生才材料1；主22技能不选17。MYF19/23/26与Crystal19/22/26不同，三阶另由171–173候选维护，主升级未选入。</x:t>
        </x:is>
      </x:c>
      <x:c r="T27" s="17">
        <x:v>25</x:v>
      </x:c>
      <x:c r="U27" s="17">
        <x:v>0</x:v>
      </x:c>
      <x:c r="V27" s="17">
        <x:v>3</x:v>
      </x:c>
      <x:c r="W27" s="17" t="inlineStr">
        <x:is>
          <x:t xml:space="preserve">{"accuracy_per_level":0,"power_base":0,"power_bonus":0,"mpower_base":0,"mpower_bonus":0,"multiplier_base_ppm":0,"multiplier_bonus_ppm":0,"accuracy_by_level":[],"healing_stat_multiplier":0,"add_caster_level":false,"undead_multiplier_ppm":0,"max_attack_bonus_by_level":[],"ready_proc_denominator":0,"ready_proc_numerators":[],"non_undead_divisor":0}</x:t>
        </x:is>
      </x:c>
    </x:row>
  </x:sheetData>
  <x:conditionalFormatting sqref="A4:A1003">
    <x:cfRule type="expression" dxfId="489" priority="1">
      <x:formula>AND($A4&lt;&gt;"",ISBLANK(A4))</x:formula>
    </x:cfRule>
  </x:conditionalFormatting>
  <x:conditionalFormatting sqref="B4:B1003">
    <x:cfRule type="expression" dxfId="490" priority="2">
      <x:formula>AND($A4&lt;&gt;"",ISBLANK(B4))</x:formula>
    </x:cfRule>
  </x:conditionalFormatting>
  <x:conditionalFormatting sqref="C4:C1003">
    <x:cfRule type="expression" dxfId="491" priority="3">
      <x:formula>AND($A4&lt;&gt;"",ISBLANK(C4))</x:formula>
    </x:cfRule>
  </x:conditionalFormatting>
  <x:conditionalFormatting sqref="D4:D1003">
    <x:cfRule type="expression" dxfId="492" priority="4">
      <x:formula>AND($A4&lt;&gt;"",ISBLANK(D4))</x:formula>
    </x:cfRule>
  </x:conditionalFormatting>
  <x:conditionalFormatting sqref="E4:E1003">
    <x:cfRule type="expression" dxfId="493" priority="5">
      <x:formula>AND($A4&lt;&gt;"",ISBLANK(E4))</x:formula>
    </x:cfRule>
  </x:conditionalFormatting>
  <x:conditionalFormatting sqref="F4:F1003">
    <x:cfRule type="expression" dxfId="494" priority="6">
      <x:formula>AND($A4&lt;&gt;"",ISBLANK(F4))</x:formula>
    </x:cfRule>
  </x:conditionalFormatting>
  <x:conditionalFormatting sqref="G4:G1003">
    <x:cfRule type="expression" dxfId="495" priority="7">
      <x:formula>AND($A4&lt;&gt;"",ISBLANK(G4))</x:formula>
    </x:cfRule>
  </x:conditionalFormatting>
  <x:conditionalFormatting sqref="H4:H1003">
    <x:cfRule type="expression" dxfId="496" priority="8">
      <x:formula>AND($A4&lt;&gt;"",ISBLANK(H4))</x:formula>
    </x:cfRule>
  </x:conditionalFormatting>
  <x:conditionalFormatting sqref="I4:I1003">
    <x:cfRule type="expression" dxfId="497" priority="9">
      <x:formula>AND($A4&lt;&gt;"",ISBLANK(I4))</x:formula>
    </x:cfRule>
  </x:conditionalFormatting>
  <x:conditionalFormatting sqref="J4:J1003">
    <x:cfRule type="expression" dxfId="498" priority="10">
      <x:formula>AND($A4&lt;&gt;"",ISBLANK(J4))</x:formula>
    </x:cfRule>
  </x:conditionalFormatting>
  <x:conditionalFormatting sqref="K4:K1003">
    <x:cfRule type="expression" dxfId="499" priority="11">
      <x:formula>AND($A4&lt;&gt;"",ISBLANK(K4))</x:formula>
    </x:cfRule>
  </x:conditionalFormatting>
  <x:conditionalFormatting sqref="L4:L1003">
    <x:cfRule type="expression" dxfId="500" priority="12">
      <x:formula>AND($A4&lt;&gt;"",ISBLANK(L4))</x:formula>
    </x:cfRule>
  </x:conditionalFormatting>
  <x:conditionalFormatting sqref="M4:M1003">
    <x:cfRule type="expression" dxfId="501" priority="13">
      <x:formula>AND($A4&lt;&gt;"",ISBLANK(M4))</x:formula>
    </x:cfRule>
  </x:conditionalFormatting>
  <x:conditionalFormatting sqref="N4:N1003">
    <x:cfRule type="expression" dxfId="502" priority="14">
      <x:formula>AND($A4&lt;&gt;"",ISBLANK(N4))</x:formula>
    </x:cfRule>
  </x:conditionalFormatting>
  <x:conditionalFormatting sqref="O4:O1003">
    <x:cfRule type="expression" dxfId="503" priority="15">
      <x:formula>AND($A4&lt;&gt;"",ISBLANK(O4))</x:formula>
    </x:cfRule>
  </x:conditionalFormatting>
  <x:conditionalFormatting sqref="P4:P1003">
    <x:cfRule type="expression" dxfId="504" priority="16">
      <x:formula>AND($A4&lt;&gt;"",ISBLANK(P4))</x:formula>
    </x:cfRule>
  </x:conditionalFormatting>
  <x:conditionalFormatting sqref="Q4:Q1003">
    <x:cfRule type="containsText" dxfId="505" priority="17" operator="containsText" text="candidate"/>
    <x:cfRule type="containsText" dxfId="506" priority="18" operator="containsText" text="unverified"/>
    <x:cfRule type="containsText" dxfId="507" priority="19" operator="containsText" text="historical"/>
  </x:conditionalFormatting>
  <x:dataValidations count="1">
    <x:dataValidation type="list" sqref="Q4:Q1003">
      <x:formula1>"confirmed,candidate,unverified,historical"</x:formula1>
    </x:dataValidation>
  </x:dataValidation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18" hidden="0" customWidth="1"/>
    <x:col min="6" max="6" width="54" hidden="0" customWidth="1"/>
    <x:col min="7" max="7" width="25" hidden="0" customWidth="1"/>
    <x:col min="8" max="8" width="18" hidden="0" customWidth="1"/>
    <x:col min="9" max="9" width="48" hidden="0" customWidth="1"/>
    <x:col min="10" max="10" width="70" hidden="0" customWidth="1"/>
    <x:col min="11" max="11" width="25" hidden="0" customWidth="1"/>
    <x:col min="12" max="12" width="25" hidden="0" customWidth="1"/>
  </x:cols>
  <x:sheetData>
    <x:row r="1" ht="30" customHeight="1">
      <x:c r="A1" s="7" t="str">
        <x:v>配置编号</x:v>
      </x:c>
      <x:c r="B1" s="7" t="str">
        <x:v>基础技能ID</x:v>
      </x:c>
      <x:c r="C1" s="7" t="str">
        <x:v>技能等级</x:v>
      </x:c>
      <x:c r="D1" s="7" t="str">
        <x:v>书本消耗</x:v>
      </x:c>
      <x:c r="E1" s="7" t="str">
        <x:v>书页消耗</x:v>
      </x:c>
      <x:c r="F1" s="7" t="str">
        <x:v>允许的数值增量</x:v>
      </x:c>
      <x:c r="G1" s="7" t="str">
        <x:v>保持攻击方式射程目标形状</x:v>
      </x:c>
      <x:c r="H1" s="7" t="str">
        <x:v>参数状态</x:v>
      </x:c>
      <x:c r="I1" s="7" t="str">
        <x:v>来源章节与行号</x:v>
      </x:c>
      <x:c r="J1" s="7" t="str">
        <x:v>说明</x:v>
      </x:c>
      <x:c r="K1" s="7" t="str">
        <x:v>所需角色等级</x:v>
      </x:c>
      <x:c r="L1" s="7" t="str">
        <x:v>书页物品ID</x:v>
      </x:c>
    </x:row>
    <x:row r="2" ht="30" customHeight="1">
      <x:c r="A2" s="12" t="str">
        <x:v>id</x:v>
      </x:c>
      <x:c r="B2" s="12" t="str">
        <x:v>skill_id</x:v>
      </x:c>
      <x:c r="C2" s="12" t="str">
        <x:v>level</x:v>
      </x:c>
      <x:c r="D2" s="12" t="str">
        <x:v>book_cost</x:v>
      </x:c>
      <x:c r="E2" s="12" t="str">
        <x:v>page_cost</x:v>
      </x:c>
      <x:c r="F2" s="12" t="str">
        <x:v>allowed_numeric_changes</x:v>
      </x:c>
      <x:c r="G2" s="12" t="str">
        <x:v>preserve_behavior_shape</x:v>
      </x:c>
      <x:c r="H2" s="12" t="str">
        <x:v>record_status</x:v>
      </x:c>
      <x:c r="I2" s="12" t="str">
        <x:v>source_ref</x:v>
      </x:c>
      <x:c r="J2" s="12" t="str">
        <x:v>note</x:v>
      </x:c>
      <x:c r="K2" s="12" t="str">
        <x:v>required_role_level</x:v>
      </x:c>
      <x:c r="L2" s="12" t="str">
        <x:v>page_item_id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json / 必填 / both</x:v>
      </x:c>
      <x:c r="E3" s="15" t="str">
        <x:v>int / 必填 / both</x:v>
      </x:c>
      <x:c r="F3" s="15" t="str">
        <x:v>json / 必填 / both</x:v>
      </x:c>
      <x:c r="G3" s="15" t="str">
        <x:v>bool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  <x:c r="K3" s="15" t="str">
        <x:v>int / 必填 / both</x:v>
      </x:c>
      <x:c r="L3" s="15" t="str">
        <x:v>int / 必填 / both</x:v>
      </x:c>
    </x:row>
    <x:row r="4" ht="70" hidden="0" customHeight="1">
      <x:c r="A4" s="19" t="n">
        <x:v>11</x:v>
      </x:c>
      <x:c r="B4" s="16" t="n">
        <x:v>1</x:v>
      </x:c>
      <x:c r="C4" s="16" t="n">
        <x:v>1</x:v>
      </x:c>
      <x:c r="D4" s="17" t="str">
        <x:v>[{"item_id":7,"quantity":2}]</x:v>
      </x:c>
      <x:c r="E4" s="16" t="n">
        <x:v>5</x:v>
      </x:c>
      <x:c r="F4" s="17" t="str">
        <x:v>{"native_rank":1}</x:v>
      </x:c>
      <x:c r="G4" s="9" t="b">
        <x:v>1</x:v>
      </x:c>
      <x:c r="H4" s="17" t="str">
        <x:v>candidate</x:v>
      </x:c>
      <x:c r="I4" s="18" t="str">
        <x:v>用户2026-10-27：每阶技能书=目标阶+1；docs/技能获取与升级实施边界.md（页与等级门槛候选）</x:v>
      </x:c>
      <x:c r="J4" s="18" t="str">
        <x:v>书本公式为用户确定；页数与等级门槛候选，保留源GetPower/耗蓝/准确差异，不改射程/目标/动作。</x:v>
      </x:c>
      <x:c r="K4" s="16" t="n">
        <x:v>7</x:v>
      </x:c>
      <x:c r="L4" s="16" t="n">
        <x:v>900001</x:v>
      </x:c>
    </x:row>
    <x:row r="5" ht="70" hidden="0" customHeight="1">
      <x:c r="A5" s="19" t="n">
        <x:v>12</x:v>
      </x:c>
      <x:c r="B5" s="16" t="n">
        <x:v>1</x:v>
      </x:c>
      <x:c r="C5" s="16" t="n">
        <x:v>2</x:v>
      </x:c>
      <x:c r="D5" s="17" t="str">
        <x:v>[{"item_id":7,"quantity":3}]</x:v>
      </x:c>
      <x:c r="E5" s="16" t="n">
        <x:v>10</x:v>
      </x:c>
      <x:c r="F5" s="17" t="str">
        <x:v>{"native_rank":2}</x:v>
      </x:c>
      <x:c r="G5" s="9" t="b">
        <x:v>1</x:v>
      </x:c>
      <x:c r="H5" s="17" t="str">
        <x:v>candidate</x:v>
      </x:c>
      <x:c r="I5" s="18" t="str">
        <x:v>用户2026-10-27：每阶技能书=目标阶+1；docs/技能获取与升级实施边界.md（页与等级门槛候选）</x:v>
      </x:c>
      <x:c r="J5" s="18" t="str">
        <x:v>书本公式为用户确定；页数与等级门槛候选，保留源GetPower/耗蓝/准确差异，不改射程/目标/动作。</x:v>
      </x:c>
      <x:c r="K5" s="16" t="n">
        <x:v>9</x:v>
      </x:c>
      <x:c r="L5" s="16" t="n">
        <x:v>900001</x:v>
      </x:c>
    </x:row>
    <x:row r="6" ht="70" hidden="0" customHeight="1">
      <x:c r="A6" s="19" t="n">
        <x:v>13</x:v>
      </x:c>
      <x:c r="B6" s="16" t="n">
        <x:v>1</x:v>
      </x:c>
      <x:c r="C6" s="16" t="n">
        <x:v>3</x:v>
      </x:c>
      <x:c r="D6" s="17" t="str">
        <x:v>[{"item_id":7,"quantity":4}]</x:v>
      </x:c>
      <x:c r="E6" s="16" t="n">
        <x:v>20</x:v>
      </x:c>
      <x:c r="F6" s="17" t="str">
        <x:v>{"native_rank":3}</x:v>
      </x:c>
      <x:c r="G6" s="9" t="b">
        <x:v>1</x:v>
      </x:c>
      <x:c r="H6" s="17" t="str">
        <x:v>candidate</x:v>
      </x:c>
      <x:c r="I6" s="18" t="str">
        <x:v>用户2026-10-27：每阶技能书=目标阶+1；docs/技能获取与升级实施边界.md（页与等级门槛候选）</x:v>
      </x:c>
      <x:c r="J6" s="18" t="str">
        <x:v>书本公式为用户确定；页数与等级门槛候选，保留源GetPower/耗蓝/准确差异，不改射程/目标/动作。</x:v>
      </x:c>
      <x:c r="K6" s="16" t="n">
        <x:v>11</x:v>
      </x:c>
      <x:c r="L6" s="16" t="n">
        <x:v>900001</x:v>
      </x:c>
    </x:row>
    <x:row r="7" ht="70" hidden="0" customHeight="1">
      <x:c r="A7" s="19" t="n">
        <x:v>21</x:v>
      </x:c>
      <x:c r="B7" s="16" t="n">
        <x:v>2</x:v>
      </x:c>
      <x:c r="C7" s="16" t="n">
        <x:v>1</x:v>
      </x:c>
      <x:c r="D7" s="17" t="str">
        <x:v>[{"item_id":21,"quantity":2}]</x:v>
      </x:c>
      <x:c r="E7" s="16" t="n">
        <x:v>5</x:v>
      </x:c>
      <x:c r="F7" s="17" t="str">
        <x:v>{"native_rank":1}</x:v>
      </x:c>
      <x:c r="G7" s="9" t="b">
        <x:v>1</x:v>
      </x:c>
      <x:c r="H7" s="17" t="str">
        <x:v>candidate</x:v>
      </x:c>
      <x:c r="I7" s="18" t="str">
        <x:v>用户2026-10-27：每阶技能书=目标阶+1；docs/技能获取与升级实施边界.md（页与等级门槛候选）</x:v>
      </x:c>
      <x:c r="J7" s="18" t="str">
        <x:v>书本公式为用户确定；页数与等级门槛候选，保留源GetPower/耗蓝/准确差异，不改射程/目标/动作。</x:v>
      </x:c>
      <x:c r="K7" s="16" t="n">
        <x:v>7</x:v>
      </x:c>
      <x:c r="L7" s="16" t="n">
        <x:v>900001</x:v>
      </x:c>
    </x:row>
    <x:row r="8" ht="70" hidden="0" customHeight="1">
      <x:c r="A8" s="19" t="n">
        <x:v>22</x:v>
      </x:c>
      <x:c r="B8" s="16" t="n">
        <x:v>2</x:v>
      </x:c>
      <x:c r="C8" s="16" t="n">
        <x:v>2</x:v>
      </x:c>
      <x:c r="D8" s="17" t="str">
        <x:v>[{"item_id":21,"quantity":3}]</x:v>
      </x:c>
      <x:c r="E8" s="16" t="n">
        <x:v>10</x:v>
      </x:c>
      <x:c r="F8" s="17" t="str">
        <x:v>{"native_rank":2}</x:v>
      </x:c>
      <x:c r="G8" s="9" t="b">
        <x:v>1</x:v>
      </x:c>
      <x:c r="H8" s="17" t="str">
        <x:v>candidate</x:v>
      </x:c>
      <x:c r="I8" s="18" t="str">
        <x:v>用户2026-10-27：每阶技能书=目标阶+1；docs/技能获取与升级实施边界.md（页与等级门槛候选）</x:v>
      </x:c>
      <x:c r="J8" s="18" t="str">
        <x:v>书本公式为用户确定；页数与等级门槛候选，保留源GetPower/耗蓝/准确差异，不改射程/目标/动作。</x:v>
      </x:c>
      <x:c r="K8" s="16" t="n">
        <x:v>11</x:v>
      </x:c>
      <x:c r="L8" s="16" t="n">
        <x:v>900001</x:v>
      </x:c>
    </x:row>
    <x:row r="9" ht="70" hidden="0" customHeight="1">
      <x:c r="A9" s="19" t="n">
        <x:v>23</x:v>
      </x:c>
      <x:c r="B9" s="16" t="n">
        <x:v>2</x:v>
      </x:c>
      <x:c r="C9" s="16" t="n">
        <x:v>3</x:v>
      </x:c>
      <x:c r="D9" s="17" t="str">
        <x:v>[{"item_id":21,"quantity":4}]</x:v>
      </x:c>
      <x:c r="E9" s="16" t="n">
        <x:v>20</x:v>
      </x:c>
      <x:c r="F9" s="17" t="str">
        <x:v>{"native_rank":3}</x:v>
      </x:c>
      <x:c r="G9" s="9" t="b">
        <x:v>1</x:v>
      </x:c>
      <x:c r="H9" s="17" t="str">
        <x:v>candidate</x:v>
      </x:c>
      <x:c r="I9" s="18" t="str">
        <x:v>用户2026-10-27：每阶技能书=目标阶+1；docs/技能获取与升级实施边界.md（页与等级门槛候选）</x:v>
      </x:c>
      <x:c r="J9" s="18" t="str">
        <x:v>书本公式为用户确定；页数与等级门槛候选，保留源GetPower/耗蓝/准确差异，不改射程/目标/动作。</x:v>
      </x:c>
      <x:c r="K9" s="16" t="n">
        <x:v>14</x:v>
      </x:c>
      <x:c r="L9" s="16" t="n">
        <x:v>900001</x:v>
      </x:c>
    </x:row>
    <x:row r="10" ht="70" customHeight="1">
      <x:c r="A10" s="19" t="n">
        <x:v>31</x:v>
      </x:c>
      <x:c r="B10" s="16" t="n">
        <x:v>3</x:v>
      </x:c>
      <x:c r="C10" s="16" t="n">
        <x:v>1</x:v>
      </x:c>
      <x:c r="D10" s="17" t="str">
        <x:v>[{"item_id":1,"quantity":2}]</x:v>
      </x:c>
      <x:c r="E10" s="16" t="n">
        <x:v>5</x:v>
      </x:c>
      <x:c r="F10" s="17" t="str">
        <x:v>{"native_rank":1}</x:v>
      </x:c>
      <x:c r="G10" s="9" t="b">
        <x:v>1</x:v>
      </x:c>
      <x:c r="H10" s="17" t="str">
        <x:v>candidate</x:v>
      </x:c>
      <x:c r="I10" s="18" t="str">
        <x:v>用户2026-10-27：每阶技能书=目标阶+1；docs/技能获取与升级实施边界.md（页与等级门槛候选）</x:v>
      </x:c>
      <x:c r="J10" s="18" t="str">
        <x:v>书本公式为用户确定；页数与等级门槛候选，保留源GetPower/耗蓝/准确差异，不改射程/目标/动作。</x:v>
      </x:c>
      <x:c r="K10" s="16" t="n">
        <x:v>7</x:v>
      </x:c>
      <x:c r="L10" s="16" t="n">
        <x:v>900001</x:v>
      </x:c>
    </x:row>
    <x:row r="11" ht="70" customHeight="1">
      <x:c r="A11" s="19" t="n">
        <x:v>32</x:v>
      </x:c>
      <x:c r="B11" s="16" t="n">
        <x:v>3</x:v>
      </x:c>
      <x:c r="C11" s="16" t="n">
        <x:v>2</x:v>
      </x:c>
      <x:c r="D11" s="17" t="str">
        <x:v>[{"item_id":1,"quantity":3}]</x:v>
      </x:c>
      <x:c r="E11" s="16" t="n">
        <x:v>10</x:v>
      </x:c>
      <x:c r="F11" s="17" t="str">
        <x:v>{"native_rank":2}</x:v>
      </x:c>
      <x:c r="G11" s="9" t="b">
        <x:v>1</x:v>
      </x:c>
      <x:c r="H11" s="17" t="str">
        <x:v>candidate</x:v>
      </x:c>
      <x:c r="I11" s="18" t="str">
        <x:v>用户2026-10-27：每阶技能书=目标阶+1；docs/技能获取与升级实施边界.md（页与等级门槛候选）</x:v>
      </x:c>
      <x:c r="J11" s="18" t="str">
        <x:v>书本公式为用户确定；页数与等级门槛候选，保留源GetPower/耗蓝/准确差异，不改射程/目标/动作。</x:v>
      </x:c>
      <x:c r="K11" s="16" t="n">
        <x:v>9</x:v>
      </x:c>
      <x:c r="L11" s="16" t="n">
        <x:v>900001</x:v>
      </x:c>
    </x:row>
    <x:row r="12" ht="70" customHeight="1">
      <x:c r="A12" s="19" t="n">
        <x:v>33</x:v>
      </x:c>
      <x:c r="B12" s="16" t="n">
        <x:v>3</x:v>
      </x:c>
      <x:c r="C12" s="16" t="n">
        <x:v>3</x:v>
      </x:c>
      <x:c r="D12" s="17" t="str">
        <x:v>[{"item_id":1,"quantity":4}]</x:v>
      </x:c>
      <x:c r="E12" s="16" t="n">
        <x:v>20</x:v>
      </x:c>
      <x:c r="F12" s="17" t="str">
        <x:v>{"native_rank":3}</x:v>
      </x:c>
      <x:c r="G12" s="9" t="b">
        <x:v>1</x:v>
      </x:c>
      <x:c r="H12" s="17" t="str">
        <x:v>candidate</x:v>
      </x:c>
      <x:c r="I12" s="18" t="str">
        <x:v>用户2026-10-27：每阶技能书=目标阶+1；docs/技能获取与升级实施边界.md（页与等级门槛候选）</x:v>
      </x:c>
      <x:c r="J12" s="18" t="str">
        <x:v>书本公式为用户确定；页数与等级门槛候选，保留源GetPower/耗蓝/准确差异，不改射程/目标/动作。</x:v>
      </x:c>
      <x:c r="K12" s="16" t="n">
        <x:v>12</x:v>
      </x:c>
      <x:c r="L12" s="16" t="n">
        <x:v>900001</x:v>
      </x:c>
    </x:row>
    <x:row r="13" ht="70" customHeight="1">
      <x:c r="A13" s="19" t="n">
        <x:v>41</x:v>
      </x:c>
      <x:c r="B13" s="16" t="n">
        <x:v>4</x:v>
      </x:c>
      <x:c r="C13" s="16" t="n">
        <x:v>1</x:v>
      </x:c>
      <x:c r="D13" s="17" t="str">
        <x:v>[{"item_id":22,"quantity":2}]</x:v>
      </x:c>
      <x:c r="E13" s="16" t="n">
        <x:v>5</x:v>
      </x:c>
      <x:c r="F13" s="17" t="str">
        <x:v>{"native_rank":1}</x:v>
      </x:c>
      <x:c r="G13" s="9" t="b">
        <x:v>1</x:v>
      </x:c>
      <x:c r="H13" s="17" t="str">
        <x:v>candidate</x:v>
      </x:c>
      <x:c r="I13" s="18" t="str">
        <x:v>用户2026-10-27书本=目标阶+1；docs/范围技能与战斗时序实施边界.md；资料参考/crystal/Server/MirEnvir/Envir.cs；HumanObject.cs与MirEnvir/Map.cs源码候选</x:v>
      </x:c>
      <x:c r="J13" s="18" t="str">
        <x:v>书本公式已定；书页5/10/20与门槛候选；rank0至3只改变各自数值，不扩大3×3或改变目标过滤。</x:v>
      </x:c>
      <x:c r="K13" s="16" t="n">
        <x:v>9</x:v>
      </x:c>
      <x:c r="L13" s="16" t="n">
        <x:v>900001</x:v>
      </x:c>
    </x:row>
    <x:row r="14" ht="70" customHeight="1">
      <x:c r="A14" s="19" t="n">
        <x:v>42</x:v>
      </x:c>
      <x:c r="B14" s="16" t="n">
        <x:v>4</x:v>
      </x:c>
      <x:c r="C14" s="16" t="n">
        <x:v>2</x:v>
      </x:c>
      <x:c r="D14" s="17" t="str">
        <x:v>[{"item_id":22,"quantity":3}]</x:v>
      </x:c>
      <x:c r="E14" s="16" t="n">
        <x:v>10</x:v>
      </x:c>
      <x:c r="F14" s="17" t="str">
        <x:v>{"native_rank":2}</x:v>
      </x:c>
      <x:c r="G14" s="9" t="b">
        <x:v>1</x:v>
      </x:c>
      <x:c r="H14" s="17" t="str">
        <x:v>candidate</x:v>
      </x:c>
      <x:c r="I14" s="18" t="str">
        <x:v>用户2026-10-27书本=目标阶+1；docs/范围技能与战斗时序实施边界.md；资料参考/crystal/Server/MirEnvir/Envir.cs；HumanObject.cs与MirEnvir/Map.cs源码候选</x:v>
      </x:c>
      <x:c r="J14" s="18" t="str">
        <x:v>书本公式已定；书页5/10/20与门槛候选；rank0至3只改变各自数值，不扩大3×3或改变目标过滤。</x:v>
      </x:c>
      <x:c r="K14" s="16" t="n">
        <x:v>12</x:v>
      </x:c>
      <x:c r="L14" s="16" t="n">
        <x:v>900001</x:v>
      </x:c>
    </x:row>
    <x:row r="15" ht="70" customHeight="1">
      <x:c r="A15" s="19" t="n">
        <x:v>43</x:v>
      </x:c>
      <x:c r="B15" s="16" t="n">
        <x:v>4</x:v>
      </x:c>
      <x:c r="C15" s="16" t="n">
        <x:v>3</x:v>
      </x:c>
      <x:c r="D15" s="17" t="str">
        <x:v>[{"item_id":22,"quantity":4}]</x:v>
      </x:c>
      <x:c r="E15" s="16" t="n">
        <x:v>20</x:v>
      </x:c>
      <x:c r="F15" s="17" t="str">
        <x:v>{"native_rank":3}</x:v>
      </x:c>
      <x:c r="G15" s="9" t="b">
        <x:v>1</x:v>
      </x:c>
      <x:c r="H15" s="17" t="str">
        <x:v>candidate</x:v>
      </x:c>
      <x:c r="I15" s="18" t="str">
        <x:v>用户2026-10-27书本=目标阶+1；docs/范围技能与战斗时序实施边界.md；资料参考/crystal/Server/MirEnvir/Envir.cs；HumanObject.cs与MirEnvir/Map.cs源码候选</x:v>
      </x:c>
      <x:c r="J15" s="18" t="str">
        <x:v>书本公式已定；书页5/10/20与门槛候选；rank0至3只改变各自数值，不扩大3×3或改变目标过滤。</x:v>
      </x:c>
      <x:c r="K15" s="16" t="n">
        <x:v>15</x:v>
      </x:c>
      <x:c r="L15" s="16" t="n">
        <x:v>900001</x:v>
      </x:c>
    </x:row>
    <x:row r="16" ht="70" customHeight="1">
      <x:c r="A16" s="19" t="n">
        <x:v>51</x:v>
      </x:c>
      <x:c r="B16" s="16" t="n">
        <x:v>5</x:v>
      </x:c>
      <x:c r="C16" s="16" t="n">
        <x:v>1</x:v>
      </x:c>
      <x:c r="D16" s="17" t="str">
        <x:v>[{"item_id":12,"quantity":2}]</x:v>
      </x:c>
      <x:c r="E16" s="16" t="n">
        <x:v>5</x:v>
      </x:c>
      <x:c r="F16" s="17" t="str">
        <x:v>{"native_rank":1}</x:v>
      </x:c>
      <x:c r="G16" s="9" t="b">
        <x:v>1</x:v>
      </x:c>
      <x:c r="H16" s="17" t="str">
        <x:v>candidate</x:v>
      </x:c>
      <x:c r="I16" s="18" t="str">
        <x:v>用户2026-10-27书本=目标阶+1；docs/范围技能与战斗时序实施边界.md；资料参考/crystal/Server/MirEnvir/Envir.cs；HumanObject.cs与MirEnvir/Map.cs源码候选</x:v>
      </x:c>
      <x:c r="J16" s="18" t="str">
        <x:v>书本公式已定；书页5/10/20与门槛候选；rank0至3只改变各自数值，不扩大3×3或改变目标过滤。</x:v>
      </x:c>
      <x:c r="K16" s="16" t="n">
        <x:v>15</x:v>
      </x:c>
      <x:c r="L16" s="16" t="n">
        <x:v>900001</x:v>
      </x:c>
    </x:row>
    <x:row r="17" ht="70" customHeight="1">
      <x:c r="A17" s="19" t="n">
        <x:v>52</x:v>
      </x:c>
      <x:c r="B17" s="16" t="n">
        <x:v>5</x:v>
      </x:c>
      <x:c r="C17" s="16" t="n">
        <x:v>2</x:v>
      </x:c>
      <x:c r="D17" s="17" t="str">
        <x:v>[{"item_id":12,"quantity":3}]</x:v>
      </x:c>
      <x:c r="E17" s="16" t="n">
        <x:v>10</x:v>
      </x:c>
      <x:c r="F17" s="17" t="str">
        <x:v>{"native_rank":2}</x:v>
      </x:c>
      <x:c r="G17" s="9" t="b">
        <x:v>1</x:v>
      </x:c>
      <x:c r="H17" s="17" t="str">
        <x:v>candidate</x:v>
      </x:c>
      <x:c r="I17" s="18" t="str">
        <x:v>用户2026-10-27书本=目标阶+1；docs/范围技能与战斗时序实施边界.md；资料参考/crystal/Server/MirEnvir/Envir.cs；HumanObject.cs与MirEnvir/Map.cs源码候选</x:v>
      </x:c>
      <x:c r="J17" s="18" t="str">
        <x:v>书本公式已定；书页5/10/20与门槛候选；rank0至3只改变各自数值，不扩大3×3或改变目标过滤。</x:v>
      </x:c>
      <x:c r="K17" s="16" t="n">
        <x:v>18</x:v>
      </x:c>
      <x:c r="L17" s="16" t="n">
        <x:v>900001</x:v>
      </x:c>
    </x:row>
    <x:row r="18" ht="70" customHeight="1">
      <x:c r="A18" s="19" t="n">
        <x:v>53</x:v>
      </x:c>
      <x:c r="B18" s="16" t="n">
        <x:v>5</x:v>
      </x:c>
      <x:c r="C18" s="16" t="n">
        <x:v>3</x:v>
      </x:c>
      <x:c r="D18" s="17" t="str">
        <x:v>[{"item_id":12,"quantity":4}]</x:v>
      </x:c>
      <x:c r="E18" s="16" t="n">
        <x:v>20</x:v>
      </x:c>
      <x:c r="F18" s="17" t="str">
        <x:v>{"native_rank":3}</x:v>
      </x:c>
      <x:c r="G18" s="9" t="b">
        <x:v>1</x:v>
      </x:c>
      <x:c r="H18" s="17" t="str">
        <x:v>candidate</x:v>
      </x:c>
      <x:c r="I18" s="18" t="str">
        <x:v>用户2026-10-27书本=目标阶+1；docs/范围技能与战斗时序实施边界.md；资料参考/crystal/Server/MirEnvir/Envir.cs；HumanObject.cs与MirEnvir/Map.cs源码候选</x:v>
      </x:c>
      <x:c r="J18" s="18" t="str">
        <x:v>书本公式已定；书页5/10/20与门槛候选；rank0至3只改变各自数值，不扩大3×3或改变目标过滤。</x:v>
      </x:c>
      <x:c r="K18" s="16" t="n">
        <x:v>21</x:v>
      </x:c>
      <x:c r="L18" s="16" t="n">
        <x:v>900001</x:v>
      </x:c>
    </x:row>
    <x:row r="19" ht="70" customHeight="1">
      <x:c r="A19" s="19" t="n">
        <x:v>111</x:v>
      </x:c>
      <x:c r="B19" s="16" t="n">
        <x:v>11</x:v>
      </x:c>
      <x:c r="C19" s="16" t="n">
        <x:v>1</x:v>
      </x:c>
      <x:c r="D19" s="17" t="str">
        <x:v>[{"item_id":11,"quantity":2}]</x:v>
      </x:c>
      <x:c r="E19" s="16" t="n">
        <x:v>5</x:v>
      </x:c>
      <x:c r="F19" s="17" t="str">
        <x:v>{"native_rank":1}</x:v>
      </x:c>
      <x:c r="G19" s="9" t="b">
        <x:v>1</x:v>
      </x:c>
      <x:c r="H19" s="17" t="str">
        <x:v>candidate</x:v>
      </x:c>
      <x:c r="I19" s="18" t="str">
        <x:v>用户2026-10-27书本=目标阶+1；docs/范围技能与战斗时序实施边界.md；资料参考/crystal/Server/MirEnvir/Envir.cs；HumanObject.cs与MirEnvir/Map.cs源码候选</x:v>
      </x:c>
      <x:c r="J19" s="18" t="str">
        <x:v>书本公式已定；书页5/10/20与门槛候选；rank0至3只改变各自数值，不扩大3×3或改变目标过滤。</x:v>
      </x:c>
      <x:c r="K19" s="16" t="n">
        <x:v>17</x:v>
      </x:c>
      <x:c r="L19" s="16" t="n">
        <x:v>900001</x:v>
      </x:c>
    </x:row>
    <x:row r="20" ht="70" customHeight="1">
      <x:c r="A20" s="19" t="n">
        <x:v>112</x:v>
      </x:c>
      <x:c r="B20" s="16" t="n">
        <x:v>11</x:v>
      </x:c>
      <x:c r="C20" s="16" t="n">
        <x:v>2</x:v>
      </x:c>
      <x:c r="D20" s="17" t="str">
        <x:v>[{"item_id":11,"quantity":3}]</x:v>
      </x:c>
      <x:c r="E20" s="16" t="n">
        <x:v>10</x:v>
      </x:c>
      <x:c r="F20" s="17" t="str">
        <x:v>{"native_rank":2}</x:v>
      </x:c>
      <x:c r="G20" s="9" t="b">
        <x:v>1</x:v>
      </x:c>
      <x:c r="H20" s="17" t="str">
        <x:v>candidate</x:v>
      </x:c>
      <x:c r="I20" s="18" t="str">
        <x:v>用户2026-10-27书本=目标阶+1；docs/范围技能与战斗时序实施边界.md；资料参考/crystal/Server/MirEnvir/Envir.cs；HumanObject.cs与MirEnvir/Map.cs源码候选</x:v>
      </x:c>
      <x:c r="J20" s="18" t="str">
        <x:v>书本公式已定；书页5/10/20与门槛候选；rank0至3只改变各自数值，不扩大3×3或改变目标过滤。</x:v>
      </x:c>
      <x:c r="K20" s="16" t="n">
        <x:v>20</x:v>
      </x:c>
      <x:c r="L20" s="16" t="n">
        <x:v>900001</x:v>
      </x:c>
    </x:row>
    <x:row r="21" ht="70" customHeight="1">
      <x:c r="A21" s="19" t="n">
        <x:v>113</x:v>
      </x:c>
      <x:c r="B21" s="16" t="n">
        <x:v>11</x:v>
      </x:c>
      <x:c r="C21" s="16" t="n">
        <x:v>3</x:v>
      </x:c>
      <x:c r="D21" s="17" t="str">
        <x:v>[{"item_id":11,"quantity":4}]</x:v>
      </x:c>
      <x:c r="E21" s="16" t="n">
        <x:v>20</x:v>
      </x:c>
      <x:c r="F21" s="17" t="str">
        <x:v>{"native_rank":3}</x:v>
      </x:c>
      <x:c r="G21" s="9" t="b">
        <x:v>1</x:v>
      </x:c>
      <x:c r="H21" s="17" t="str">
        <x:v>candidate</x:v>
      </x:c>
      <x:c r="I21" s="18" t="str">
        <x:v>用户2026-10-27书本=目标阶+1；docs/范围技能与战斗时序实施边界.md；资料参考/crystal/Server/MirEnvir/Envir.cs；HumanObject.cs与MirEnvir/Map.cs源码候选</x:v>
      </x:c>
      <x:c r="J21" s="18" t="str">
        <x:v>书本公式已定；书页5/10/20与门槛候选；rank0至3只改变各自数值，不扩大3×3或改变目标过滤。</x:v>
      </x:c>
      <x:c r="K21" s="16" t="n">
        <x:v>23</x:v>
      </x:c>
      <x:c r="L21" s="16" t="n">
        <x:v>900001</x:v>
      </x:c>
    </x:row>
    <x:row r="22" ht="70" customHeight="1">
      <x:c r="A22" s="19" t="n">
        <x:v>231</x:v>
      </x:c>
      <x:c r="B22" s="16" t="n">
        <x:v>23</x:v>
      </x:c>
      <x:c r="C22" s="16" t="n">
        <x:v>1</x:v>
      </x:c>
      <x:c r="D22" s="17" t="str">
        <x:v>[{"item_id":14,"quantity":2}]</x:v>
      </x:c>
      <x:c r="E22" s="16" t="n">
        <x:v>5</x:v>
      </x:c>
      <x:c r="F22" s="17" t="str">
        <x:v>{"native_rank":1}</x:v>
      </x:c>
      <x:c r="G22" s="9" t="b">
        <x:v>1</x:v>
      </x:c>
      <x:c r="H22" s="17" t="str">
        <x:v>candidate</x:v>
      </x:c>
      <x:c r="I22" s="18" t="str">
        <x:v>用户2026-10-27书本=目标阶+1；docs/范围技能与战斗时序实施边界.md；资料参考/crystal/Server/MirEnvir/Envir.cs；HumanObject.cs与MirEnvir/Map.cs源码候选</x:v>
      </x:c>
      <x:c r="J22" s="18" t="str">
        <x:v>书本公式已定；书页5/10/20与门槛候选；rank0至3只改变各自数值，不扩大3×3或改变目标过滤。</x:v>
      </x:c>
      <x:c r="K22" s="16" t="n">
        <x:v>22</x:v>
      </x:c>
      <x:c r="L22" s="16" t="n">
        <x:v>900001</x:v>
      </x:c>
    </x:row>
    <x:row r="23" ht="70" customHeight="1">
      <x:c r="A23" s="19" t="n">
        <x:v>232</x:v>
      </x:c>
      <x:c r="B23" s="16" t="n">
        <x:v>23</x:v>
      </x:c>
      <x:c r="C23" s="16" t="n">
        <x:v>2</x:v>
      </x:c>
      <x:c r="D23" s="17" t="str">
        <x:v>[{"item_id":14,"quantity":3}]</x:v>
      </x:c>
      <x:c r="E23" s="16" t="n">
        <x:v>10</x:v>
      </x:c>
      <x:c r="F23" s="17" t="str">
        <x:v>{"native_rank":2}</x:v>
      </x:c>
      <x:c r="G23" s="9" t="b">
        <x:v>1</x:v>
      </x:c>
      <x:c r="H23" s="17" t="str">
        <x:v>candidate</x:v>
      </x:c>
      <x:c r="I23" s="18" t="str">
        <x:v>用户2026-10-27书本=目标阶+1；docs/范围技能与战斗时序实施边界.md；资料参考/crystal/Server/MirEnvir/Envir.cs；HumanObject.cs与MirEnvir/Map.cs源码候选</x:v>
      </x:c>
      <x:c r="J23" s="18" t="str">
        <x:v>书本公式已定；书页5/10/20与门槛候选；rank0至3只改变各自数值，不扩大3×3或改变目标过滤。</x:v>
      </x:c>
      <x:c r="K23" s="16" t="n">
        <x:v>25</x:v>
      </x:c>
      <x:c r="L23" s="16" t="n">
        <x:v>900001</x:v>
      </x:c>
    </x:row>
    <x:row r="24" ht="70" customHeight="1">
      <x:c r="A24" s="19" t="n">
        <x:v>233</x:v>
      </x:c>
      <x:c r="B24" s="16" t="n">
        <x:v>23</x:v>
      </x:c>
      <x:c r="C24" s="16" t="n">
        <x:v>3</x:v>
      </x:c>
      <x:c r="D24" s="17" t="str">
        <x:v>[{"item_id":14,"quantity":4}]</x:v>
      </x:c>
      <x:c r="E24" s="16" t="n">
        <x:v>20</x:v>
      </x:c>
      <x:c r="F24" s="17" t="str">
        <x:v>{"native_rank":3}</x:v>
      </x:c>
      <x:c r="G24" s="9" t="b">
        <x:v>1</x:v>
      </x:c>
      <x:c r="H24" s="17" t="str">
        <x:v>candidate</x:v>
      </x:c>
      <x:c r="I24" s="18" t="str">
        <x:v>用户2026-10-27书本=目标阶+1；docs/范围技能与战斗时序实施边界.md；资料参考/crystal/Server/MirEnvir/Envir.cs；HumanObject.cs与MirEnvir/Map.cs源码候选</x:v>
      </x:c>
      <x:c r="J24" s="18" t="str">
        <x:v>书本公式已定；书页5/10/20与门槛候选；rank0至3只改变各自数值，不扩大3×3或改变目标过滤。</x:v>
      </x:c>
      <x:c r="K24" s="16" t="n">
        <x:v>28</x:v>
      </x:c>
      <x:c r="L24" s="16" t="n">
        <x:v>900001</x:v>
      </x:c>
    </x:row>
    <x:row r="25" ht="70" customHeight="1">
      <x:c r="A25" s="19" t="n">
        <x:v>291</x:v>
      </x:c>
      <x:c r="B25" s="16" t="n">
        <x:v>29</x:v>
      </x:c>
      <x:c r="C25" s="16" t="n">
        <x:v>1</x:v>
      </x:c>
      <x:c r="D25" s="17" t="str">
        <x:v>[{"item_id":32,"quantity":2}]</x:v>
      </x:c>
      <x:c r="E25" s="16" t="n">
        <x:v>5</x:v>
      </x:c>
      <x:c r="F25" s="17" t="str">
        <x:v>{"native_rank":1}</x:v>
      </x:c>
      <x:c r="G25" s="9" t="b">
        <x:v>1</x:v>
      </x:c>
      <x:c r="H25" s="17" t="str">
        <x:v>candidate</x:v>
      </x:c>
      <x:c r="I25" s="18" t="str">
        <x:v>用户2026-10-27书本=目标阶+1；docs/范围技能与战斗时序实施边界.md；资料参考/crystal/Server/MirEnvir/Envir.cs；HumanObject.cs与MirEnvir/Map.cs源码候选</x:v>
      </x:c>
      <x:c r="J25" s="18" t="str">
        <x:v>书本公式已定；书页5/10/20与门槛候选；rank0至3只改变各自数值，不扩大3×3或改变目标过滤。</x:v>
      </x:c>
      <x:c r="K25" s="16" t="n">
        <x:v>31</x:v>
      </x:c>
      <x:c r="L25" s="16" t="n">
        <x:v>900001</x:v>
      </x:c>
    </x:row>
    <x:row r="26" ht="70" customHeight="1">
      <x:c r="A26" s="19" t="n">
        <x:v>292</x:v>
      </x:c>
      <x:c r="B26" s="16" t="n">
        <x:v>29</x:v>
      </x:c>
      <x:c r="C26" s="16" t="n">
        <x:v>2</x:v>
      </x:c>
      <x:c r="D26" s="17" t="str">
        <x:v>[{"item_id":32,"quantity":3}]</x:v>
      </x:c>
      <x:c r="E26" s="16" t="n">
        <x:v>10</x:v>
      </x:c>
      <x:c r="F26" s="17" t="str">
        <x:v>{"native_rank":2}</x:v>
      </x:c>
      <x:c r="G26" s="9" t="b">
        <x:v>1</x:v>
      </x:c>
      <x:c r="H26" s="17" t="str">
        <x:v>candidate</x:v>
      </x:c>
      <x:c r="I26" s="18" t="str">
        <x:v>用户2026-10-27书本=目标阶+1；docs/范围技能与战斗时序实施边界.md；资料参考/crystal/Server/MirEnvir/Envir.cs；HumanObject.cs与MirEnvir/Map.cs源码候选</x:v>
      </x:c>
      <x:c r="J26" s="18" t="str">
        <x:v>书本公式已定；书页5/10/20与门槛候选；rank0至3只改变各自数值，不扩大3×3或改变目标过滤。</x:v>
      </x:c>
      <x:c r="K26" s="16" t="n">
        <x:v>33</x:v>
      </x:c>
      <x:c r="L26" s="16" t="n">
        <x:v>900001</x:v>
      </x:c>
    </x:row>
    <x:row r="27" ht="70" customHeight="1">
      <x:c r="A27" s="19" t="n">
        <x:v>293</x:v>
      </x:c>
      <x:c r="B27" s="16" t="n">
        <x:v>29</x:v>
      </x:c>
      <x:c r="C27" s="16" t="n">
        <x:v>3</x:v>
      </x:c>
      <x:c r="D27" s="17" t="str">
        <x:v>[{"item_id":32,"quantity":4}]</x:v>
      </x:c>
      <x:c r="E27" s="16" t="n">
        <x:v>20</x:v>
      </x:c>
      <x:c r="F27" s="17" t="str">
        <x:v>{"native_rank":3}</x:v>
      </x:c>
      <x:c r="G27" s="9" t="b">
        <x:v>1</x:v>
      </x:c>
      <x:c r="H27" s="17" t="str">
        <x:v>candidate</x:v>
      </x:c>
      <x:c r="I27" s="18" t="str">
        <x:v>用户2026-10-27书本=目标阶+1；docs/范围技能与战斗时序实施边界.md；资料参考/crystal/Server/MirEnvir/Envir.cs；HumanObject.cs与MirEnvir/Map.cs源码候选</x:v>
      </x:c>
      <x:c r="J27" s="18" t="str">
        <x:v>书本公式已定；书页5/10/20与门槛候选；rank0至3只改变各自数值，不扩大3×3或改变目标过滤。</x:v>
      </x:c>
      <x:c r="K27" s="16" t="n">
        <x:v>36</x:v>
      </x:c>
      <x:c r="L27" s="16" t="n">
        <x:v>900001</x:v>
      </x:c>
    </x:row>
    <x:row r="28" ht="70" customHeight="1">
      <x:c r="A28" s="19" t="n">
        <x:v>71</x:v>
      </x:c>
      <x:c r="B28" s="16" t="n">
        <x:v>7</x:v>
      </x:c>
      <x:c r="C28" s="16" t="n">
        <x:v>1</x:v>
      </x:c>
      <x:c r="D28" s="17" t="str">
        <x:v>[{"item_id":2,"quantity":2}]</x:v>
      </x:c>
      <x:c r="E28" s="16" t="n">
        <x:v>5</x:v>
      </x:c>
      <x:c r="F28" s="17" t="str">
        <x:v>{"native_rank":1}</x:v>
      </x:c>
      <x:c r="G28" s="9" t="b">
        <x:v>1</x:v>
      </x:c>
      <x:c r="H28" s="17" t="str">
        <x:v>candidate</x:v>
      </x:c>
      <x:c r="I28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28" s="18" t="str">
        <x:v>书本公式已定，页5/10/20与门槛候选；0至3阶只改数值或概率，保持本项格集、模式、目标过滤与耗费路径。</x:v>
      </x:c>
      <x:c r="K28" s="16" t="n">
        <x:v>15</x:v>
      </x:c>
      <x:c r="L28" s="16" t="n">
        <x:v>900001</x:v>
      </x:c>
    </x:row>
    <x:row r="29" ht="70" customHeight="1">
      <x:c r="A29" s="19" t="n">
        <x:v>72</x:v>
      </x:c>
      <x:c r="B29" s="16" t="n">
        <x:v>7</x:v>
      </x:c>
      <x:c r="C29" s="16" t="n">
        <x:v>2</x:v>
      </x:c>
      <x:c r="D29" s="17" t="str">
        <x:v>[{"item_id":2,"quantity":3}]</x:v>
      </x:c>
      <x:c r="E29" s="16" t="n">
        <x:v>10</x:v>
      </x:c>
      <x:c r="F29" s="17" t="str">
        <x:v>{"native_rank":2}</x:v>
      </x:c>
      <x:c r="G29" s="9" t="b">
        <x:v>1</x:v>
      </x:c>
      <x:c r="H29" s="17" t="str">
        <x:v>candidate</x:v>
      </x:c>
      <x:c r="I29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29" s="18" t="str">
        <x:v>书本公式已定，页5/10/20与门槛候选；0至3阶只改数值或概率，保持本项格集、模式、目标过滤与耗费路径。</x:v>
      </x:c>
      <x:c r="K29" s="16" t="n">
        <x:v>17</x:v>
      </x:c>
      <x:c r="L29" s="16" t="n">
        <x:v>900001</x:v>
      </x:c>
    </x:row>
    <x:row r="30" ht="70" customHeight="1">
      <x:c r="A30" s="19" t="n">
        <x:v>73</x:v>
      </x:c>
      <x:c r="B30" s="16" t="n">
        <x:v>7</x:v>
      </x:c>
      <x:c r="C30" s="16" t="n">
        <x:v>3</x:v>
      </x:c>
      <x:c r="D30" s="17" t="str">
        <x:v>[{"item_id":2,"quantity":4}]</x:v>
      </x:c>
      <x:c r="E30" s="16" t="n">
        <x:v>20</x:v>
      </x:c>
      <x:c r="F30" s="17" t="str">
        <x:v>{"native_rank":3}</x:v>
      </x:c>
      <x:c r="G30" s="9" t="b">
        <x:v>1</x:v>
      </x:c>
      <x:c r="H30" s="17" t="str">
        <x:v>candidate</x:v>
      </x:c>
      <x:c r="I30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0" s="18" t="str">
        <x:v>书本公式已定，页5/10/20与门槛候选；0至3阶只改数值或概率，保持本项格集、模式、目标过滤与耗费路径。</x:v>
      </x:c>
      <x:c r="K30" s="16" t="n">
        <x:v>20</x:v>
      </x:c>
      <x:c r="L30" s="16" t="n">
        <x:v>900001</x:v>
      </x:c>
    </x:row>
    <x:row r="31" ht="70" customHeight="1">
      <x:c r="A31" s="19" t="n">
        <x:v>121</x:v>
      </x:c>
      <x:c r="B31" s="16" t="n">
        <x:v>12</x:v>
      </x:c>
      <x:c r="C31" s="16" t="n">
        <x:v>1</x:v>
      </x:c>
      <x:c r="D31" s="17" t="str">
        <x:v>[{"item_id":3,"quantity":2}]</x:v>
      </x:c>
      <x:c r="E31" s="16" t="n">
        <x:v>5</x:v>
      </x:c>
      <x:c r="F31" s="17" t="str">
        <x:v>{"native_rank":1}</x:v>
      </x:c>
      <x:c r="G31" s="9" t="b">
        <x:v>1</x:v>
      </x:c>
      <x:c r="H31" s="17" t="str">
        <x:v>candidate</x:v>
      </x:c>
      <x:c r="I31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1" s="18" t="str">
        <x:v>书本公式已定，页5/10/20与门槛候选；0至3阶只改数值或概率，保持本项格集、模式、目标过滤与耗费路径。</x:v>
      </x:c>
      <x:c r="K31" s="16" t="n">
        <x:v>22</x:v>
      </x:c>
      <x:c r="L31" s="16" t="n">
        <x:v>900001</x:v>
      </x:c>
    </x:row>
    <x:row r="32" ht="70" customHeight="1">
      <x:c r="A32" s="19" t="n">
        <x:v>122</x:v>
      </x:c>
      <x:c r="B32" s="16" t="n">
        <x:v>12</x:v>
      </x:c>
      <x:c r="C32" s="16" t="n">
        <x:v>2</x:v>
      </x:c>
      <x:c r="D32" s="17" t="str">
        <x:v>[{"item_id":3,"quantity":3}]</x:v>
      </x:c>
      <x:c r="E32" s="16" t="n">
        <x:v>10</x:v>
      </x:c>
      <x:c r="F32" s="17" t="str">
        <x:v>{"native_rank":2}</x:v>
      </x:c>
      <x:c r="G32" s="9" t="b">
        <x:v>1</x:v>
      </x:c>
      <x:c r="H32" s="17" t="str">
        <x:v>candidate</x:v>
      </x:c>
      <x:c r="I32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2" s="18" t="str">
        <x:v>书本公式已定，页5/10/20与门槛候选；0至3阶只改数值或概率，保持本项格集、模式、目标过滤与耗费路径。</x:v>
      </x:c>
      <x:c r="K32" s="16" t="n">
        <x:v>24</x:v>
      </x:c>
      <x:c r="L32" s="16" t="n">
        <x:v>900001</x:v>
      </x:c>
    </x:row>
    <x:row r="33" ht="70" customHeight="1">
      <x:c r="A33" s="19" t="n">
        <x:v>123</x:v>
      </x:c>
      <x:c r="B33" s="16" t="n">
        <x:v>12</x:v>
      </x:c>
      <x:c r="C33" s="16" t="n">
        <x:v>3</x:v>
      </x:c>
      <x:c r="D33" s="17" t="str">
        <x:v>[{"item_id":3,"quantity":4}]</x:v>
      </x:c>
      <x:c r="E33" s="16" t="n">
        <x:v>20</x:v>
      </x:c>
      <x:c r="F33" s="17" t="str">
        <x:v>{"native_rank":3}</x:v>
      </x:c>
      <x:c r="G33" s="9" t="b">
        <x:v>1</x:v>
      </x:c>
      <x:c r="H33" s="17" t="str">
        <x:v>candidate</x:v>
      </x:c>
      <x:c r="I33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3" s="18" t="str">
        <x:v>书本公式已定，页5/10/20与门槛候选；0至3阶只改数值或概率，保持本项格集、模式、目标过滤与耗费路径。</x:v>
      </x:c>
      <x:c r="K33" s="16" t="n">
        <x:v>27</x:v>
      </x:c>
      <x:c r="L33" s="16" t="n">
        <x:v>900001</x:v>
      </x:c>
    </x:row>
    <x:row r="34" ht="70" customHeight="1">
      <x:c r="A34" s="19" t="n">
        <x:v>251</x:v>
      </x:c>
      <x:c r="B34" s="16" t="n">
        <x:v>25</x:v>
      </x:c>
      <x:c r="C34" s="16" t="n">
        <x:v>1</x:v>
      </x:c>
      <x:c r="D34" s="17" t="str">
        <x:v>[{"item_id":4,"quantity":2}]</x:v>
      </x:c>
      <x:c r="E34" s="16" t="n">
        <x:v>5</x:v>
      </x:c>
      <x:c r="F34" s="17" t="str">
        <x:v>{"native_rank":1}</x:v>
      </x:c>
      <x:c r="G34" s="9" t="b">
        <x:v>1</x:v>
      </x:c>
      <x:c r="H34" s="17" t="str">
        <x:v>candidate</x:v>
      </x:c>
      <x:c r="I34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4" s="18" t="str">
        <x:v>书本公式已定，页5/10/20与门槛候选；0至3阶只改数值或概率，保持本项格集、模式、目标过滤与耗费路径。</x:v>
      </x:c>
      <x:c r="K34" s="16" t="n">
        <x:v>26</x:v>
      </x:c>
      <x:c r="L34" s="16" t="n">
        <x:v>900001</x:v>
      </x:c>
    </x:row>
    <x:row r="35" ht="70" customHeight="1">
      <x:c r="A35" s="19" t="n">
        <x:v>252</x:v>
      </x:c>
      <x:c r="B35" s="16" t="n">
        <x:v>25</x:v>
      </x:c>
      <x:c r="C35" s="16" t="n">
        <x:v>2</x:v>
      </x:c>
      <x:c r="D35" s="17" t="str">
        <x:v>[{"item_id":4,"quantity":3}]</x:v>
      </x:c>
      <x:c r="E35" s="16" t="n">
        <x:v>10</x:v>
      </x:c>
      <x:c r="F35" s="17" t="str">
        <x:v>{"native_rank":2}</x:v>
      </x:c>
      <x:c r="G35" s="9" t="b">
        <x:v>1</x:v>
      </x:c>
      <x:c r="H35" s="17" t="str">
        <x:v>candidate</x:v>
      </x:c>
      <x:c r="I35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5" s="18" t="str">
        <x:v>书本公式已定，页5/10/20与门槛候选；0至3阶只改数值或概率，保持本项格集、模式、目标过滤与耗费路径。</x:v>
      </x:c>
      <x:c r="K35" s="16" t="n">
        <x:v>28</x:v>
      </x:c>
      <x:c r="L35" s="16" t="n">
        <x:v>900001</x:v>
      </x:c>
    </x:row>
    <x:row r="36" ht="70" customHeight="1">
      <x:c r="A36" s="19" t="n">
        <x:v>253</x:v>
      </x:c>
      <x:c r="B36" s="16" t="n">
        <x:v>25</x:v>
      </x:c>
      <x:c r="C36" s="16" t="n">
        <x:v>3</x:v>
      </x:c>
      <x:c r="D36" s="17" t="str">
        <x:v>[{"item_id":4,"quantity":4}]</x:v>
      </x:c>
      <x:c r="E36" s="16" t="n">
        <x:v>20</x:v>
      </x:c>
      <x:c r="F36" s="17" t="str">
        <x:v>{"native_rank":3}</x:v>
      </x:c>
      <x:c r="G36" s="9" t="b">
        <x:v>1</x:v>
      </x:c>
      <x:c r="H36" s="17" t="str">
        <x:v>candidate</x:v>
      </x:c>
      <x:c r="I36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6" s="18" t="str">
        <x:v>书本公式已定，页5/10/20与门槛候选；0至3阶只改数值或概率，保持本项格集、模式、目标过滤与耗费路径。</x:v>
      </x:c>
      <x:c r="K36" s="16" t="n">
        <x:v>31</x:v>
      </x:c>
      <x:c r="L36" s="16" t="n">
        <x:v>900001</x:v>
      </x:c>
    </x:row>
    <x:row r="37" ht="70" customHeight="1">
      <x:c r="A37" s="19" t="n">
        <x:v>261</x:v>
      </x:c>
      <x:c r="B37" s="16" t="n">
        <x:v>26</x:v>
      </x:c>
      <x:c r="C37" s="16" t="n">
        <x:v>1</x:v>
      </x:c>
      <x:c r="D37" s="17" t="str">
        <x:v>[{"item_id":6,"quantity":2}]</x:v>
      </x:c>
      <x:c r="E37" s="16" t="n">
        <x:v>5</x:v>
      </x:c>
      <x:c r="F37" s="17" t="str">
        <x:v>{"native_rank":1}</x:v>
      </x:c>
      <x:c r="G37" s="9" t="b">
        <x:v>1</x:v>
      </x:c>
      <x:c r="H37" s="17" t="str">
        <x:v>candidate</x:v>
      </x:c>
      <x:c r="I37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7" s="18" t="str">
        <x:v>书本公式已定，页5/10/20与门槛候选；0至3阶只改数值或概率，保持本项格集、模式、目标过滤与耗费路径。</x:v>
      </x:c>
      <x:c r="K37" s="16" t="n">
        <x:v>35</x:v>
      </x:c>
      <x:c r="L37" s="16" t="n">
        <x:v>900001</x:v>
      </x:c>
    </x:row>
    <x:row r="38" ht="70" customHeight="1">
      <x:c r="A38" s="19" t="n">
        <x:v>262</x:v>
      </x:c>
      <x:c r="B38" s="16" t="n">
        <x:v>26</x:v>
      </x:c>
      <x:c r="C38" s="16" t="n">
        <x:v>2</x:v>
      </x:c>
      <x:c r="D38" s="17" t="str">
        <x:v>[{"item_id":6,"quantity":3}]</x:v>
      </x:c>
      <x:c r="E38" s="16" t="n">
        <x:v>10</x:v>
      </x:c>
      <x:c r="F38" s="17" t="str">
        <x:v>{"native_rank":2}</x:v>
      </x:c>
      <x:c r="G38" s="9" t="b">
        <x:v>1</x:v>
      </x:c>
      <x:c r="H38" s="17" t="str">
        <x:v>candidate</x:v>
      </x:c>
      <x:c r="I38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8" s="18" t="str">
        <x:v>书本公式已定，页5/10/20与门槛候选；0至3阶只改数值或概率，保持本项格集、模式、目标过滤与耗费路径。</x:v>
      </x:c>
      <x:c r="K38" s="16" t="n">
        <x:v>37</x:v>
      </x:c>
      <x:c r="L38" s="16" t="n">
        <x:v>900001</x:v>
      </x:c>
    </x:row>
    <x:row r="39" ht="70" customHeight="1">
      <x:c r="A39" s="19" t="n">
        <x:v>263</x:v>
      </x:c>
      <x:c r="B39" s="16" t="n">
        <x:v>26</x:v>
      </x:c>
      <x:c r="C39" s="16" t="n">
        <x:v>3</x:v>
      </x:c>
      <x:c r="D39" s="17" t="str">
        <x:v>[{"item_id":6,"quantity":4}]</x:v>
      </x:c>
      <x:c r="E39" s="16" t="n">
        <x:v>20</x:v>
      </x:c>
      <x:c r="F39" s="17" t="str">
        <x:v>{"native_rank":3}</x:v>
      </x:c>
      <x:c r="G39" s="9" t="b">
        <x:v>1</x:v>
      </x:c>
      <x:c r="H39" s="17" t="str">
        <x:v>candidate</x:v>
      </x:c>
      <x:c r="I39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9" s="18" t="str">
        <x:v>书本公式已定，页5/10/20与门槛候选；0至3阶只改数值或概率，保持本项格集、模式、目标过滤与耗费路径。</x:v>
      </x:c>
      <x:c r="K39" s="16" t="n">
        <x:v>40</x:v>
      </x:c>
      <x:c r="L39" s="16" t="n">
        <x:v>900001</x:v>
      </x:c>
    </x:row>
    <x:row r="40" ht="70" customHeight="1">
      <x:c r="A40" s="19" t="n">
        <x:v>101</x:v>
      </x:c>
      <x:c r="B40" s="16" t="n">
        <x:v>10</x:v>
      </x:c>
      <x:c r="C40" s="16" t="n">
        <x:v>1</x:v>
      </x:c>
      <x:c r="D40" s="17" t="str">
        <x:v>[{"item_id":16,"quantity":2}]</x:v>
      </x:c>
      <x:c r="E40" s="16" t="n">
        <x:v>5</x:v>
      </x:c>
      <x:c r="F40" s="17" t="str">
        <x:v>{"native_rank":1}</x:v>
      </x:c>
      <x:c r="G40" s="9" t="b">
        <x:v>1</x:v>
      </x:c>
      <x:c r="H40" s="17" t="str">
        <x:v>candidate</x:v>
      </x:c>
      <x:c r="I40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0" s="18" t="str">
        <x:v>书本公式已定，页5/10/20与门槛候选；0至3阶只改数值或概率，保持本项格集、模式、目标过滤与耗费路径。</x:v>
      </x:c>
      <x:c r="K40" s="16" t="n">
        <x:v>26</x:v>
      </x:c>
      <x:c r="L40" s="16" t="n">
        <x:v>900001</x:v>
      </x:c>
    </x:row>
    <x:row r="41" ht="70" customHeight="1">
      <x:c r="A41" s="19" t="n">
        <x:v>102</x:v>
      </x:c>
      <x:c r="B41" s="16" t="n">
        <x:v>10</x:v>
      </x:c>
      <x:c r="C41" s="16" t="n">
        <x:v>2</x:v>
      </x:c>
      <x:c r="D41" s="17" t="str">
        <x:v>[{"item_id":16,"quantity":3}]</x:v>
      </x:c>
      <x:c r="E41" s="16" t="n">
        <x:v>10</x:v>
      </x:c>
      <x:c r="F41" s="17" t="str">
        <x:v>{"native_rank":2}</x:v>
      </x:c>
      <x:c r="G41" s="9" t="b">
        <x:v>1</x:v>
      </x:c>
      <x:c r="H41" s="17" t="str">
        <x:v>candidate</x:v>
      </x:c>
      <x:c r="I41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1" s="18" t="str">
        <x:v>书本公式已定，页5/10/20与门槛候选；0至3阶只改数值或概率，保持本项格集、模式、目标过滤与耗费路径。</x:v>
      </x:c>
      <x:c r="K41" s="16" t="n">
        <x:v>29</x:v>
      </x:c>
      <x:c r="L41" s="16" t="n">
        <x:v>900001</x:v>
      </x:c>
    </x:row>
    <x:row r="42" ht="70" customHeight="1">
      <x:c r="A42" s="19" t="n">
        <x:v>103</x:v>
      </x:c>
      <x:c r="B42" s="16" t="n">
        <x:v>10</x:v>
      </x:c>
      <x:c r="C42" s="16" t="n">
        <x:v>3</x:v>
      </x:c>
      <x:c r="D42" s="17" t="str">
        <x:v>[{"item_id":16,"quantity":4}]</x:v>
      </x:c>
      <x:c r="E42" s="16" t="n">
        <x:v>20</x:v>
      </x:c>
      <x:c r="F42" s="17" t="str">
        <x:v>{"native_rank":3}</x:v>
      </x:c>
      <x:c r="G42" s="9" t="b">
        <x:v>1</x:v>
      </x:c>
      <x:c r="H42" s="17" t="str">
        <x:v>candidate</x:v>
      </x:c>
      <x:c r="I42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2" s="18" t="str">
        <x:v>书本公式已定，页5/10/20与门槛候选；0至3阶只改数值或概率，保持本项格集、模式、目标过滤与耗费路径。</x:v>
      </x:c>
      <x:c r="K42" s="16" t="n">
        <x:v>32</x:v>
      </x:c>
      <x:c r="L42" s="16" t="n">
        <x:v>900001</x:v>
      </x:c>
    </x:row>
    <x:row r="43" ht="70" customHeight="1">
      <x:c r="A43" s="19" t="n">
        <x:v>331</x:v>
      </x:c>
      <x:c r="B43" s="16" t="n">
        <x:v>33</x:v>
      </x:c>
      <x:c r="C43" s="16" t="n">
        <x:v>1</x:v>
      </x:c>
      <x:c r="D43" s="17" t="str">
        <x:v>[{"item_id":20,"quantity":2}]</x:v>
      </x:c>
      <x:c r="E43" s="16" t="n">
        <x:v>5</x:v>
      </x:c>
      <x:c r="F43" s="17" t="str">
        <x:v>{"native_rank":1}</x:v>
      </x:c>
      <x:c r="G43" s="9" t="b">
        <x:v>1</x:v>
      </x:c>
      <x:c r="H43" s="17" t="str">
        <x:v>candidate</x:v>
      </x:c>
      <x:c r="I43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3" s="18" t="str">
        <x:v>书本公式已定，页5/10/20与门槛候选；0至3阶只改数值或概率，保持本项格集、模式、目标过滤与耗费路径。</x:v>
      </x:c>
      <x:c r="K43" s="16" t="n">
        <x:v>35</x:v>
      </x:c>
      <x:c r="L43" s="16" t="n">
        <x:v>900001</x:v>
      </x:c>
    </x:row>
    <x:row r="44" ht="70" customHeight="1">
      <x:c r="A44" s="19" t="n">
        <x:v>332</x:v>
      </x:c>
      <x:c r="B44" s="16" t="n">
        <x:v>33</x:v>
      </x:c>
      <x:c r="C44" s="16" t="n">
        <x:v>2</x:v>
      </x:c>
      <x:c r="D44" s="17" t="str">
        <x:v>[{"item_id":20,"quantity":3}]</x:v>
      </x:c>
      <x:c r="E44" s="16" t="n">
        <x:v>10</x:v>
      </x:c>
      <x:c r="F44" s="17" t="str">
        <x:v>{"native_rank":2}</x:v>
      </x:c>
      <x:c r="G44" s="9" t="b">
        <x:v>1</x:v>
      </x:c>
      <x:c r="H44" s="17" t="str">
        <x:v>candidate</x:v>
      </x:c>
      <x:c r="I44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4" s="18" t="str">
        <x:v>书本公式已定，页5/10/20与门槛候选；0至3阶只改数值或概率，保持本项格集、模式、目标过滤与耗费路径。</x:v>
      </x:c>
      <x:c r="K44" s="16" t="n">
        <x:v>37</x:v>
      </x:c>
      <x:c r="L44" s="16" t="n">
        <x:v>900001</x:v>
      </x:c>
    </x:row>
    <x:row r="45" ht="70" customHeight="1">
      <x:c r="A45" s="19" t="n">
        <x:v>333</x:v>
      </x:c>
      <x:c r="B45" s="16" t="n">
        <x:v>33</x:v>
      </x:c>
      <x:c r="C45" s="16" t="n">
        <x:v>3</x:v>
      </x:c>
      <x:c r="D45" s="17" t="str">
        <x:v>[{"item_id":20,"quantity":4}]</x:v>
      </x:c>
      <x:c r="E45" s="16" t="n">
        <x:v>20</x:v>
      </x:c>
      <x:c r="F45" s="17" t="str">
        <x:v>{"native_rank":3}</x:v>
      </x:c>
      <x:c r="G45" s="9" t="b">
        <x:v>1</x:v>
      </x:c>
      <x:c r="H45" s="17" t="str">
        <x:v>candidate</x:v>
      </x:c>
      <x:c r="I45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5" s="18" t="str">
        <x:v>书本公式已定，页5/10/20与门槛候选；0至3阶只改数值或概率，保持本项格集、模式、目标过滤与耗费路径。</x:v>
      </x:c>
      <x:c r="K45" s="16" t="n">
        <x:v>40</x:v>
      </x:c>
      <x:c r="L45" s="16" t="n">
        <x:v>900001</x:v>
      </x:c>
    </x:row>
    <x:row r="46" ht="70" customHeight="1">
      <x:c r="A46" s="19" t="n">
        <x:v>241</x:v>
      </x:c>
      <x:c r="B46" s="16" t="n">
        <x:v>24</x:v>
      </x:c>
      <x:c r="C46" s="16" t="n">
        <x:v>1</x:v>
      </x:c>
      <x:c r="D46" s="17" t="str">
        <x:v>[{"item_id":17,"quantity":2}]</x:v>
      </x:c>
      <x:c r="E46" s="16" t="n">
        <x:v>5</x:v>
      </x:c>
      <x:c r="F46" s="17" t="str">
        <x:v>{"native_rank":1}</x:v>
      </x:c>
      <x:c r="G46" s="9" t="b">
        <x:v>1</x:v>
      </x:c>
      <x:c r="H46" s="17" t="str">
        <x:v>candidate</x:v>
      </x:c>
      <x:c r="I46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6" s="18" t="str">
        <x:v>书本公式已定，页5/10/20与门槛候选；0至3阶只改数值或概率，保持本项格集、模式、目标过滤与耗费路径。</x:v>
      </x:c>
      <x:c r="K46" s="16" t="n">
        <x:v>30</x:v>
      </x:c>
      <x:c r="L46" s="16" t="n">
        <x:v>900001</x:v>
      </x:c>
    </x:row>
    <x:row r="47" ht="70" customHeight="1">
      <x:c r="A47" s="19" t="n">
        <x:v>242</x:v>
      </x:c>
      <x:c r="B47" s="16" t="n">
        <x:v>24</x:v>
      </x:c>
      <x:c r="C47" s="16" t="n">
        <x:v>2</x:v>
      </x:c>
      <x:c r="D47" s="17" t="str">
        <x:v>[{"item_id":17,"quantity":3}]</x:v>
      </x:c>
      <x:c r="E47" s="16" t="n">
        <x:v>10</x:v>
      </x:c>
      <x:c r="F47" s="17" t="str">
        <x:v>{"native_rank":2}</x:v>
      </x:c>
      <x:c r="G47" s="9" t="b">
        <x:v>1</x:v>
      </x:c>
      <x:c r="H47" s="17" t="str">
        <x:v>candidate</x:v>
      </x:c>
      <x:c r="I47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7" s="18" t="str">
        <x:v>书本公式已定，页5/10/20与门槛候选；0至3阶只改数值或概率，保持本项格集、模式、目标过滤与耗费路径。</x:v>
      </x:c>
      <x:c r="K47" s="16" t="n">
        <x:v>32</x:v>
      </x:c>
      <x:c r="L47" s="16" t="n">
        <x:v>900001</x:v>
      </x:c>
    </x:row>
    <x:row r="48" ht="70" customHeight="1">
      <x:c r="A48" s="19" t="n">
        <x:v>243</x:v>
      </x:c>
      <x:c r="B48" s="16" t="n">
        <x:v>24</x:v>
      </x:c>
      <x:c r="C48" s="16" t="n">
        <x:v>3</x:v>
      </x:c>
      <x:c r="D48" s="17" t="str">
        <x:v>[{"item_id":17,"quantity":4}]</x:v>
      </x:c>
      <x:c r="E48" s="16" t="n">
        <x:v>20</x:v>
      </x:c>
      <x:c r="F48" s="17" t="str">
        <x:v>{"native_rank":3}</x:v>
      </x:c>
      <x:c r="G48" s="9" t="b">
        <x:v>1</x:v>
      </x:c>
      <x:c r="H48" s="17" t="str">
        <x:v>candidate</x:v>
      </x:c>
      <x:c r="I48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8" s="18" t="str">
        <x:v>书本公式已定，页5/10/20与门槛候选；0至3阶只改数值或概率，保持本项格集、模式、目标过滤与耗费路径。</x:v>
      </x:c>
      <x:c r="K48" s="16" t="n">
        <x:v>34</x:v>
      </x:c>
      <x:c r="L48" s="16" t="n">
        <x:v>900001</x:v>
      </x:c>
    </x:row>
    <x:row r="49" ht="70" customHeight="1">
      <x:c r="A49" s="19" t="n">
        <x:v>91</x:v>
      </x:c>
      <x:c r="B49" s="16" t="n">
        <x:v>9</x:v>
      </x:c>
      <x:c r="C49" s="16" t="n">
        <x:v>1</x:v>
      </x:c>
      <x:c r="D49" s="17" t="str">
        <x:v>[{"item_id":10,"quantity":2}]</x:v>
      </x:c>
      <x:c r="E49" s="16" t="n">
        <x:v>5</x:v>
      </x:c>
      <x:c r="F49" s="17" t="str">
        <x:v>{"native_rank":1}</x:v>
      </x:c>
      <x:c r="G49" s="9" t="b">
        <x:v>1</x:v>
      </x:c>
      <x:c r="H49" s="17" t="str">
        <x:v>candidate</x:v>
      </x:c>
      <x:c r="I49" s="18" t="str">
        <x:v>用户2026-10-27审定地狱火所有阶固定正前4格；docs/战士攻击模式与方向技能实施边界.md；Crystal HumanObject.cs:4103–4118/Map.cs:875–910默认候选</x:v>
      </x:c>
      <x:c r="J49" s="18" t="str">
        <x:v>书本按用户目标阶+1，页5/10/20与等级门槛候选；所有阶固定正前4格，不增加两侧射线。</x:v>
      </x:c>
      <x:c r="K49" s="16" t="n">
        <x:v>16</x:v>
      </x:c>
      <x:c r="L49" s="16" t="n">
        <x:v>900001</x:v>
      </x:c>
    </x:row>
    <x:row r="50" ht="70" customHeight="1">
      <x:c r="A50" s="19" t="n">
        <x:v>92</x:v>
      </x:c>
      <x:c r="B50" s="16" t="n">
        <x:v>9</x:v>
      </x:c>
      <x:c r="C50" s="16" t="n">
        <x:v>2</x:v>
      </x:c>
      <x:c r="D50" s="17" t="str">
        <x:v>[{"item_id":10,"quantity":3}]</x:v>
      </x:c>
      <x:c r="E50" s="16" t="n">
        <x:v>10</x:v>
      </x:c>
      <x:c r="F50" s="17" t="str">
        <x:v>{"native_rank":2}</x:v>
      </x:c>
      <x:c r="G50" s="9" t="b">
        <x:v>1</x:v>
      </x:c>
      <x:c r="H50" s="17" t="str">
        <x:v>candidate</x:v>
      </x:c>
      <x:c r="I50" s="18" t="str">
        <x:v>用户2026-10-27审定地狱火所有阶固定正前4格；docs/战士攻击模式与方向技能实施边界.md；Crystal HumanObject.cs:4103–4118/Map.cs:875–910默认候选</x:v>
      </x:c>
      <x:c r="J50" s="18" t="str">
        <x:v>书本按用户目标阶+1，页5/10/20与等级门槛候选；所有阶固定正前4格，不增加两侧射线。</x:v>
      </x:c>
      <x:c r="K50" s="16" t="n">
        <x:v>20</x:v>
      </x:c>
      <x:c r="L50" s="16" t="n">
        <x:v>900001</x:v>
      </x:c>
    </x:row>
    <x:row r="51" ht="70" customHeight="1">
      <x:c r="A51" s="19" t="n">
        <x:v>93</x:v>
      </x:c>
      <x:c r="B51" s="16" t="n">
        <x:v>9</x:v>
      </x:c>
      <x:c r="C51" s="16" t="n">
        <x:v>3</x:v>
      </x:c>
      <x:c r="D51" s="17" t="str">
        <x:v>[{"item_id":10,"quantity":4}]</x:v>
      </x:c>
      <x:c r="E51" s="16" t="n">
        <x:v>20</x:v>
      </x:c>
      <x:c r="F51" s="17" t="str">
        <x:v>{"native_rank":3}</x:v>
      </x:c>
      <x:c r="G51" s="9" t="b">
        <x:v>1</x:v>
      </x:c>
      <x:c r="H51" s="17" t="str">
        <x:v>candidate</x:v>
      </x:c>
      <x:c r="I51" s="18" t="str">
        <x:v>用户2026-10-27审定地狱火所有阶固定正前4格；docs/战士攻击模式与方向技能实施边界.md；Crystal HumanObject.cs:4103–4118/Map.cs:875–910默认候选</x:v>
      </x:c>
      <x:c r="J51" s="18" t="str">
        <x:v>书本按用户目标阶+1，页5/10/20与等级门槛候选；所有阶固定正前4格，不增加两侧射线。</x:v>
      </x:c>
      <x:c r="K51" s="16" t="n">
        <x:v>24</x:v>
      </x:c>
      <x:c r="L51" s="16" t="n">
        <x:v>900001</x:v>
      </x:c>
    </x:row>
    <x:row r="52" ht="56" customHeight="1">
      <x:c r="A52" s="19" t="n">
        <x:v>141</x:v>
      </x:c>
      <x:c r="B52" s="16" t="n">
        <x:v>14</x:v>
      </x:c>
      <x:c r="C52" s="16" t="n">
        <x:v>1</x:v>
      </x:c>
      <x:c r="D52" s="17" t="str">
        <x:v>[{"item_id":28,"quantity":2}]</x:v>
      </x:c>
      <x:c r="E52" s="16" t="n">
        <x:v>5</x:v>
      </x:c>
      <x:c r="F52" s="17" t="str">
        <x:v>{"native_rank":1}</x:v>
      </x:c>
      <x:c r="G52" s="9" t="b">
        <x:v>1</x:v>
      </x:c>
      <x:c r="H52" s="17" t="str">
        <x:v>candidate</x:v>
      </x:c>
      <x:c r="I52" s="18" t="str">
        <x:v>用户2026-10-27目标阶+1书本；docs/战斗状态与防御技能实施边界.md；资料参考/crystal/Server/MirObjects/HumanObject.cs与MirEnvir/Map.cs；开发候选，非目标1.80认证</x:v>
      </x:c>
      <x:c r="J52" s="18" t="str">
        <x:v>书本公式为用户确定；页数与等级门槛候选，保留源GetPower/耗蓝/准确差异，不改射程/目标/动作。</x:v>
      </x:c>
      <x:c r="K52" s="16" t="n">
        <x:v>22</x:v>
      </x:c>
      <x:c r="L52" s="16" t="n">
        <x:v>900001</x:v>
      </x:c>
    </x:row>
    <x:row r="53" ht="56" customHeight="1">
      <x:c r="A53" s="19" t="n">
        <x:v>142</x:v>
      </x:c>
      <x:c r="B53" s="16" t="n">
        <x:v>14</x:v>
      </x:c>
      <x:c r="C53" s="16" t="n">
        <x:v>2</x:v>
      </x:c>
      <x:c r="D53" s="17" t="str">
        <x:v>[{"item_id":28,"quantity":3}]</x:v>
      </x:c>
      <x:c r="E53" s="16" t="n">
        <x:v>10</x:v>
      </x:c>
      <x:c r="F53" s="17" t="str">
        <x:v>{"native_rank":2}</x:v>
      </x:c>
      <x:c r="G53" s="9" t="b">
        <x:v>1</x:v>
      </x:c>
      <x:c r="H53" s="17" t="str">
        <x:v>candidate</x:v>
      </x:c>
      <x:c r="I53" s="18" t="str">
        <x:v>用户2026-10-27目标阶+1书本；docs/战斗状态与防御技能实施边界.md；资料参考/crystal/Server/MirObjects/HumanObject.cs与MirEnvir/Map.cs；开发候选，非目标1.80认证</x:v>
      </x:c>
      <x:c r="J53" s="18" t="str">
        <x:v>书本公式为用户确定；页数与等级门槛候选，保留源GetPower/耗蓝/准确差异，不改射程/目标/动作。</x:v>
      </x:c>
      <x:c r="K53" s="16" t="n">
        <x:v>24</x:v>
      </x:c>
      <x:c r="L53" s="16" t="n">
        <x:v>900001</x:v>
      </x:c>
    </x:row>
    <x:row r="54" ht="56" customHeight="1">
      <x:c r="A54" s="19" t="n">
        <x:v>143</x:v>
      </x:c>
      <x:c r="B54" s="16" t="n">
        <x:v>14</x:v>
      </x:c>
      <x:c r="C54" s="16" t="n">
        <x:v>3</x:v>
      </x:c>
      <x:c r="D54" s="17" t="str">
        <x:v>[{"item_id":28,"quantity":4}]</x:v>
      </x:c>
      <x:c r="E54" s="16" t="n">
        <x:v>20</x:v>
      </x:c>
      <x:c r="F54" s="17" t="str">
        <x:v>{"native_rank":3}</x:v>
      </x:c>
      <x:c r="G54" s="9" t="b">
        <x:v>1</x:v>
      </x:c>
      <x:c r="H54" s="17" t="str">
        <x:v>candidate</x:v>
      </x:c>
      <x:c r="I54" s="18" t="str">
        <x:v>用户2026-10-27目标阶+1书本；docs/战斗状态与防御技能实施边界.md；资料参考/crystal/Server/MirObjects/HumanObject.cs与MirEnvir/Map.cs；开发候选，非目标1.80认证</x:v>
      </x:c>
      <x:c r="J54" s="18" t="str">
        <x:v>书本公式为用户确定；页数与等级门槛候选，保留源GetPower/耗蓝/准确差异，不改射程/目标/动作。</x:v>
      </x:c>
      <x:c r="K54" s="16" t="n">
        <x:v>26</x:v>
      </x:c>
      <x:c r="L54" s="16" t="n">
        <x:v>900001</x:v>
      </x:c>
    </x:row>
    <x:row r="55" ht="56" customHeight="1">
      <x:c r="A55" s="19" t="n">
        <x:v>151</x:v>
      </x:c>
      <x:c r="B55" s="16" t="n">
        <x:v>15</x:v>
      </x:c>
      <x:c r="C55" s="16" t="n">
        <x:v>1</x:v>
      </x:c>
      <x:c r="D55" s="17" t="str">
        <x:v>[{"item_id":29,"quantity":2}]</x:v>
      </x:c>
      <x:c r="E55" s="16" t="n">
        <x:v>5</x:v>
      </x:c>
      <x:c r="F55" s="17" t="str">
        <x:v>{"native_rank":1}</x:v>
      </x:c>
      <x:c r="G55" s="9" t="b">
        <x:v>1</x:v>
      </x:c>
      <x:c r="H55" s="17" t="str">
        <x:v>candidate</x:v>
      </x:c>
      <x:c r="I55" s="18" t="str">
        <x:v>用户2026-10-27目标阶+1书本；docs/战斗状态与防御技能实施边界.md；资料参考/crystal/Server/MirObjects/HumanObject.cs与MirEnvir/Map.cs；开发候选，非目标1.80认证</x:v>
      </x:c>
      <x:c r="J55" s="18" t="str">
        <x:v>书本公式为用户确定；页数与等级门槛候选，保留源GetPower/耗蓝/准确差异，不改射程/目标/动作。</x:v>
      </x:c>
      <x:c r="K55" s="16" t="n">
        <x:v>25</x:v>
      </x:c>
      <x:c r="L55" s="16" t="n">
        <x:v>900001</x:v>
      </x:c>
    </x:row>
    <x:row r="56" ht="56" customHeight="1">
      <x:c r="A56" s="19" t="n">
        <x:v>152</x:v>
      </x:c>
      <x:c r="B56" s="16" t="n">
        <x:v>15</x:v>
      </x:c>
      <x:c r="C56" s="16" t="n">
        <x:v>2</x:v>
      </x:c>
      <x:c r="D56" s="17" t="str">
        <x:v>[{"item_id":29,"quantity":3}]</x:v>
      </x:c>
      <x:c r="E56" s="16" t="n">
        <x:v>10</x:v>
      </x:c>
      <x:c r="F56" s="17" t="str">
        <x:v>{"native_rank":2}</x:v>
      </x:c>
      <x:c r="G56" s="9" t="b">
        <x:v>1</x:v>
      </x:c>
      <x:c r="H56" s="17" t="str">
        <x:v>candidate</x:v>
      </x:c>
      <x:c r="I56" s="18" t="str">
        <x:v>用户2026-10-27目标阶+1书本；docs/战斗状态与防御技能实施边界.md；资料参考/crystal/Server/MirObjects/HumanObject.cs与MirEnvir/Map.cs；开发候选，非目标1.80认证</x:v>
      </x:c>
      <x:c r="J56" s="18" t="str">
        <x:v>书本公式为用户确定；页数与等级门槛候选，保留源GetPower/耗蓝/准确差异，不改射程/目标/动作。</x:v>
      </x:c>
      <x:c r="K56" s="16" t="n">
        <x:v>27</x:v>
      </x:c>
      <x:c r="L56" s="16" t="n">
        <x:v>900001</x:v>
      </x:c>
    </x:row>
    <x:row r="57" ht="56" customHeight="1">
      <x:c r="A57" s="19" t="n">
        <x:v>153</x:v>
      </x:c>
      <x:c r="B57" s="16" t="n">
        <x:v>15</x:v>
      </x:c>
      <x:c r="C57" s="16" t="n">
        <x:v>3</x:v>
      </x:c>
      <x:c r="D57" s="17" t="str">
        <x:v>[{"item_id":29,"quantity":4}]</x:v>
      </x:c>
      <x:c r="E57" s="16" t="n">
        <x:v>20</x:v>
      </x:c>
      <x:c r="F57" s="17" t="str">
        <x:v>{"native_rank":3}</x:v>
      </x:c>
      <x:c r="G57" s="9" t="b">
        <x:v>1</x:v>
      </x:c>
      <x:c r="H57" s="17" t="str">
        <x:v>candidate</x:v>
      </x:c>
      <x:c r="I57" s="18" t="str">
        <x:v>用户2026-10-27目标阶+1书本；docs/战斗状态与防御技能实施边界.md；资料参考/crystal/Server/MirObjects/HumanObject.cs与MirEnvir/Map.cs；开发候选，非目标1.80认证</x:v>
      </x:c>
      <x:c r="J57" s="18" t="str">
        <x:v>书本公式为用户确定；页数与等级门槛候选，保留源GetPower/耗蓝/准确差异，不改射程/目标/动作。</x:v>
      </x:c>
      <x:c r="K57" s="16" t="n">
        <x:v>29</x:v>
      </x:c>
      <x:c r="L57" s="16" t="n">
        <x:v>900001</x:v>
      </x:c>
    </x:row>
    <x:row r="58" ht="56" customHeight="1">
      <x:c r="A58" s="19" t="n">
        <x:v>311</x:v>
      </x:c>
      <x:c r="B58" s="16" t="n">
        <x:v>31</x:v>
      </x:c>
      <x:c r="C58" s="16" t="n">
        <x:v>1</x:v>
      </x:c>
      <x:c r="D58" s="17" t="str">
        <x:v>[{"item_id":18,"quantity":2}]</x:v>
      </x:c>
      <x:c r="E58" s="16" t="n">
        <x:v>5</x:v>
      </x:c>
      <x:c r="F58" s="17" t="str">
        <x:v>{"native_rank":1}</x:v>
      </x:c>
      <x:c r="G58" s="9" t="b">
        <x:v>1</x:v>
      </x:c>
      <x:c r="H58" s="17" t="str">
        <x:v>candidate</x:v>
      </x:c>
      <x:c r="I58" s="18" t="str">
        <x:v>用户2026-10-27目标阶+1书本；docs/战斗状态与防御技能实施边界.md；资料参考/crystal/Server/MirObjects/HumanObject.cs与MirEnvir/Map.cs；开发候选，非目标1.80认证</x:v>
      </x:c>
      <x:c r="J58" s="18" t="str">
        <x:v>书本公式为用户确定；页数与等级门槛候选，保留源GetPower/耗蓝/准确差异，不改射程/目标/动作。</x:v>
      </x:c>
      <x:c r="K58" s="16" t="n">
        <x:v>31</x:v>
      </x:c>
      <x:c r="L58" s="16" t="n">
        <x:v>900001</x:v>
      </x:c>
    </x:row>
    <x:row r="59" ht="56" customHeight="1">
      <x:c r="A59" s="19" t="n">
        <x:v>312</x:v>
      </x:c>
      <x:c r="B59" s="16" t="n">
        <x:v>31</x:v>
      </x:c>
      <x:c r="C59" s="16" t="n">
        <x:v>2</x:v>
      </x:c>
      <x:c r="D59" s="17" t="str">
        <x:v>[{"item_id":18,"quantity":3}]</x:v>
      </x:c>
      <x:c r="E59" s="16" t="n">
        <x:v>10</x:v>
      </x:c>
      <x:c r="F59" s="17" t="str">
        <x:v>{"native_rank":2}</x:v>
      </x:c>
      <x:c r="G59" s="9" t="b">
        <x:v>1</x:v>
      </x:c>
      <x:c r="H59" s="17" t="str">
        <x:v>candidate</x:v>
      </x:c>
      <x:c r="I59" s="18" t="str">
        <x:v>用户2026-10-27目标阶+1书本；docs/战斗状态与防御技能实施边界.md；资料参考/crystal/Server/MirObjects/HumanObject.cs与MirEnvir/Map.cs；开发候选，非目标1.80认证</x:v>
      </x:c>
      <x:c r="J59" s="18" t="str">
        <x:v>书本公式为用户确定；页数与等级门槛候选，保留源GetPower/耗蓝/准确差异，不改射程/目标/动作。</x:v>
      </x:c>
      <x:c r="K59" s="16" t="n">
        <x:v>34</x:v>
      </x:c>
      <x:c r="L59" s="16" t="n">
        <x:v>900001</x:v>
      </x:c>
    </x:row>
    <x:row r="60" ht="56" customHeight="1">
      <x:c r="A60" s="19" t="n">
        <x:v>313</x:v>
      </x:c>
      <x:c r="B60" s="16" t="n">
        <x:v>31</x:v>
      </x:c>
      <x:c r="C60" s="16" t="n">
        <x:v>3</x:v>
      </x:c>
      <x:c r="D60" s="17" t="str">
        <x:v>[{"item_id":18,"quantity":4}]</x:v>
      </x:c>
      <x:c r="E60" s="16" t="n">
        <x:v>20</x:v>
      </x:c>
      <x:c r="F60" s="17" t="str">
        <x:v>{"native_rank":3}</x:v>
      </x:c>
      <x:c r="G60" s="9" t="b">
        <x:v>1</x:v>
      </x:c>
      <x:c r="H60" s="17" t="str">
        <x:v>candidate</x:v>
      </x:c>
      <x:c r="I60" s="18" t="str">
        <x:v>用户2026-10-27目标阶+1书本；docs/战斗状态与防御技能实施边界.md；资料参考/crystal/Server/MirObjects/HumanObject.cs与MirEnvir/Map.cs；开发候选，非目标1.80认证</x:v>
      </x:c>
      <x:c r="J60" s="18" t="str">
        <x:v>书本公式为用户确定；页数与等级门槛候选，保留源GetPower/耗蓝/准确差异，不改射程/目标/动作。</x:v>
      </x:c>
      <x:c r="K60" s="16" t="n">
        <x:v>38</x:v>
      </x:c>
      <x:c r="L60" s="16" t="n">
        <x:v>900001</x:v>
      </x:c>
    </x:row>
    <x:row r="61" ht="56" customHeight="1">
      <x:c r="A61" s="19">
        <x:v>81</x:v>
      </x:c>
      <x:c r="B61" s="16">
        <x:v>8</x:v>
      </x:c>
      <x:c r="C61" s="16">
        <x:v>1</x:v>
      </x:c>
      <x:c r="D61" s="17" t="inlineStr">
        <x:is>
          <x:t xml:space="preserve">[{"item_id":8,"quantity":2}]</x:t>
        </x:is>
      </x:c>
      <x:c r="E61" s="16">
        <x:v>5</x:v>
      </x:c>
      <x:c r="F61" s="17" t="inlineStr">
        <x:is>
          <x:t xml:space="preserve">{"native_rank":1}</x:t>
        </x:is>
      </x:c>
      <x:c r="G61" s="9" t="b">
        <x:v>1</x:v>
      </x:c>
      <x:c r="H61" s="17" t="inlineStr">
        <x:is>
          <x:t xml:space="preserve">candidate</x:t>
        </x:is>
      </x:c>
      <x:c r="I61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J61" s="18" t="inlineStr">
        <x:is>
          <x:t xml:space="preserve">书本目标阶+1为用户已定；页数与学习门槛为开发候选。距离随原生阶变化已获用户明确审定，其余行为形状保持。</x:t>
        </x:is>
      </x:c>
      <x:c r="K61" s="16">
        <x:v>12</x:v>
      </x:c>
      <x:c r="L61" s="16">
        <x:v>900001</x:v>
      </x:c>
    </x:row>
    <x:row r="62" ht="56" customHeight="1">
      <x:c r="A62" s="19">
        <x:v>82</x:v>
      </x:c>
      <x:c r="B62" s="16">
        <x:v>8</x:v>
      </x:c>
      <x:c r="C62" s="16">
        <x:v>2</x:v>
      </x:c>
      <x:c r="D62" s="17" t="inlineStr">
        <x:is>
          <x:t xml:space="preserve">[{"item_id":8,"quantity":3}]</x:t>
        </x:is>
      </x:c>
      <x:c r="E62" s="16">
        <x:v>10</x:v>
      </x:c>
      <x:c r="F62" s="17" t="inlineStr">
        <x:is>
          <x:t xml:space="preserve">{"native_rank":2}</x:t>
        </x:is>
      </x:c>
      <x:c r="G62" s="9" t="b">
        <x:v>1</x:v>
      </x:c>
      <x:c r="H62" s="17" t="inlineStr">
        <x:is>
          <x:t xml:space="preserve">candidate</x:t>
        </x:is>
      </x:c>
      <x:c r="I62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J62" s="18" t="inlineStr">
        <x:is>
          <x:t xml:space="preserve">书本目标阶+1为用户已定；页数与学习门槛为开发候选。距离随原生阶变化已获用户明确审定，其余行为形状保持。</x:t>
        </x:is>
      </x:c>
      <x:c r="K62" s="16">
        <x:v>15</x:v>
      </x:c>
      <x:c r="L62" s="16">
        <x:v>900001</x:v>
      </x:c>
    </x:row>
    <x:row r="63" ht="56" customHeight="1">
      <x:c r="A63" s="19">
        <x:v>83</x:v>
      </x:c>
      <x:c r="B63" s="16">
        <x:v>8</x:v>
      </x:c>
      <x:c r="C63" s="16">
        <x:v>3</x:v>
      </x:c>
      <x:c r="D63" s="17" t="inlineStr">
        <x:is>
          <x:t xml:space="preserve">[{"item_id":8,"quantity":4}]</x:t>
        </x:is>
      </x:c>
      <x:c r="E63" s="16">
        <x:v>20</x:v>
      </x:c>
      <x:c r="F63" s="17" t="inlineStr">
        <x:is>
          <x:t xml:space="preserve">{"native_rank":3}</x:t>
        </x:is>
      </x:c>
      <x:c r="G63" s="9" t="b">
        <x:v>1</x:v>
      </x:c>
      <x:c r="H63" s="17" t="inlineStr">
        <x:is>
          <x:t xml:space="preserve">candidate</x:t>
        </x:is>
      </x:c>
      <x:c r="I63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J63" s="18" t="inlineStr">
        <x:is>
          <x:t xml:space="preserve">书本目标阶+1为用户已定；页数与学习门槛为开发候选。距离随原生阶变化已获用户明确审定，其余行为形状保持。</x:t>
        </x:is>
      </x:c>
      <x:c r="K63" s="16">
        <x:v>19</x:v>
      </x:c>
      <x:c r="L63" s="16">
        <x:v>900001</x:v>
      </x:c>
    </x:row>
    <x:row r="64" ht="56" customHeight="1">
      <x:c r="A64" s="19">
        <x:v>271</x:v>
      </x:c>
      <x:c r="B64" s="16">
        <x:v>27</x:v>
      </x:c>
      <x:c r="C64" s="16">
        <x:v>1</x:v>
      </x:c>
      <x:c r="D64" s="17" t="inlineStr">
        <x:is>
          <x:t xml:space="preserve">[{"item_id":5,"quantity":2}]</x:t>
        </x:is>
      </x:c>
      <x:c r="E64" s="16">
        <x:v>5</x:v>
      </x:c>
      <x:c r="F64" s="17" t="inlineStr">
        <x:is>
          <x:t xml:space="preserve">{"native_rank":1}</x:t>
        </x:is>
      </x:c>
      <x:c r="G64" s="9" t="b">
        <x:v>1</x:v>
      </x:c>
      <x:c r="H64" s="17" t="inlineStr">
        <x:is>
          <x:t xml:space="preserve">candidate</x:t>
        </x:is>
      </x:c>
      <x:c r="I64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J64" s="18" t="inlineStr">
        <x:is>
          <x:t xml:space="preserve">书本目标阶+1为用户已定；页数与学习门槛为开发候选。距离随原生阶变化已获用户明确审定，其余行为形状保持。</x:t>
        </x:is>
      </x:c>
      <x:c r="K64" s="16">
        <x:v>30</x:v>
      </x:c>
      <x:c r="L64" s="16">
        <x:v>900001</x:v>
      </x:c>
    </x:row>
    <x:row r="65" ht="56" customHeight="1">
      <x:c r="A65" s="19">
        <x:v>272</x:v>
      </x:c>
      <x:c r="B65" s="16">
        <x:v>27</x:v>
      </x:c>
      <x:c r="C65" s="16">
        <x:v>2</x:v>
      </x:c>
      <x:c r="D65" s="17" t="inlineStr">
        <x:is>
          <x:t xml:space="preserve">[{"item_id":5,"quantity":3}]</x:t>
        </x:is>
      </x:c>
      <x:c r="E65" s="16">
        <x:v>10</x:v>
      </x:c>
      <x:c r="F65" s="17" t="inlineStr">
        <x:is>
          <x:t xml:space="preserve">{"native_rank":2}</x:t>
        </x:is>
      </x:c>
      <x:c r="G65" s="9" t="b">
        <x:v>1</x:v>
      </x:c>
      <x:c r="H65" s="17" t="inlineStr">
        <x:is>
          <x:t xml:space="preserve">candidate</x:t>
        </x:is>
      </x:c>
      <x:c r="I65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J65" s="18" t="inlineStr">
        <x:is>
          <x:t xml:space="preserve">书本目标阶+1为用户已定；页数与学习门槛为开发候选。距离随原生阶变化已获用户明确审定，其余行为形状保持。</x:t>
        </x:is>
      </x:c>
      <x:c r="K65" s="16">
        <x:v>32</x:v>
      </x:c>
      <x:c r="L65" s="16">
        <x:v>900001</x:v>
      </x:c>
    </x:row>
    <x:row r="66" ht="56" customHeight="1">
      <x:c r="A66" s="19">
        <x:v>273</x:v>
      </x:c>
      <x:c r="B66" s="16">
        <x:v>27</x:v>
      </x:c>
      <x:c r="C66" s="16">
        <x:v>3</x:v>
      </x:c>
      <x:c r="D66" s="17" t="inlineStr">
        <x:is>
          <x:t xml:space="preserve">[{"item_id":5,"quantity":4}]</x:t>
        </x:is>
      </x:c>
      <x:c r="E66" s="16">
        <x:v>20</x:v>
      </x:c>
      <x:c r="F66" s="17" t="inlineStr">
        <x:is>
          <x:t xml:space="preserve">{"native_rank":3}</x:t>
        </x:is>
      </x:c>
      <x:c r="G66" s="9" t="b">
        <x:v>1</x:v>
      </x:c>
      <x:c r="H66" s="17" t="inlineStr">
        <x:is>
          <x:t xml:space="preserve">candidate</x:t>
        </x:is>
      </x:c>
      <x:c r="I66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J66" s="18" t="inlineStr">
        <x:is>
          <x:t xml:space="preserve">书本目标阶+1为用户已定；页数与学习门槛为开发候选。距离随原生阶变化已获用户明确审定，其余行为形状保持。</x:t>
        </x:is>
      </x:c>
      <x:c r="K66" s="16">
        <x:v>34</x:v>
      </x:c>
      <x:c r="L66" s="16">
        <x:v>900001</x:v>
      </x:c>
    </x:row>
    <x:row r="67" ht="56" customHeight="1">
      <x:c r="A67" s="19">
        <x:v>211</x:v>
      </x:c>
      <x:c r="B67" s="16">
        <x:v>21</x:v>
      </x:c>
      <x:c r="C67" s="16">
        <x:v>1</x:v>
      </x:c>
      <x:c r="D67" s="17" t="inlineStr">
        <x:is>
          <x:t xml:space="preserve">[{"item_id":13,"quantity":2}]</x:t>
        </x:is>
      </x:c>
      <x:c r="E67" s="16">
        <x:v>5</x:v>
      </x:c>
      <x:c r="F67" s="17" t="inlineStr">
        <x:is>
          <x:t xml:space="preserve">{"native_rank":1}</x:t>
        </x:is>
      </x:c>
      <x:c r="G67" s="9" t="b">
        <x:v>1</x:v>
      </x:c>
      <x:c r="H67" s="17" t="inlineStr">
        <x:is>
          <x:t xml:space="preserve">candidate</x:t>
        </x:is>
      </x:c>
      <x:c r="I67" s="18" t="inlineStr">
        <x:is>
          <x:t xml:space="preserve">用户先城镇/安全区与绑定后推进21路线；rule15源码开发候选；Crystal Server/MirEnvir/Envir.cs:654–656、MirDatabase/MagicInfo.cs:18,219–221、MirObjects/HumanObject.cs:186,3375–3397,3424–3451,3537–3540,6096–6107、MirObjects/PlayerObject.cs:4633–4647；非目标1.80完整认证；用户已定目标阶+1本，页数沿既有逐阶开发候选</x:t>
        </x:is>
      </x:c>
      <x:c r="J67" s="18" t="inlineStr">
        <x:is>
          <x:t xml:space="preserve">仅native_rank改变MP和原生随机轴除数；书本2/3/4为用户既定公式，页数5/10/20候选保留，不启用随机练功。</x:t>
        </x:is>
      </x:c>
      <x:c r="K67" s="16">
        <x:v>19</x:v>
      </x:c>
      <x:c r="L67" s="16">
        <x:v>900001</x:v>
      </x:c>
    </x:row>
    <x:row r="68" ht="56" customHeight="1">
      <x:c r="A68" s="19">
        <x:v>212</x:v>
      </x:c>
      <x:c r="B68" s="16">
        <x:v>21</x:v>
      </x:c>
      <x:c r="C68" s="16">
        <x:v>2</x:v>
      </x:c>
      <x:c r="D68" s="17" t="inlineStr">
        <x:is>
          <x:t xml:space="preserve">[{"item_id":13,"quantity":3}]</x:t>
        </x:is>
      </x:c>
      <x:c r="E68" s="16">
        <x:v>10</x:v>
      </x:c>
      <x:c r="F68" s="17" t="inlineStr">
        <x:is>
          <x:t xml:space="preserve">{"native_rank":2}</x:t>
        </x:is>
      </x:c>
      <x:c r="G68" s="9" t="b">
        <x:v>1</x:v>
      </x:c>
      <x:c r="H68" s="17" t="inlineStr">
        <x:is>
          <x:t xml:space="preserve">candidate</x:t>
        </x:is>
      </x:c>
      <x:c r="I68" s="18" t="inlineStr">
        <x:is>
          <x:t xml:space="preserve">用户先城镇/安全区与绑定后推进21路线；rule15源码开发候选；Crystal Server/MirEnvir/Envir.cs:654–656、MirDatabase/MagicInfo.cs:18,219–221、MirObjects/HumanObject.cs:186,3375–3397,3424–3451,3537–3540,6096–6107、MirObjects/PlayerObject.cs:4633–4647；非目标1.80完整认证；用户已定目标阶+1本，页数沿既有逐阶开发候选</x:t>
        </x:is>
      </x:c>
      <x:c r="J68" s="18" t="inlineStr">
        <x:is>
          <x:t xml:space="preserve">仅native_rank改变MP和原生随机轴除数；书本2/3/4为用户既定公式，页数5/10/20候选保留，不启用随机练功。</x:t>
        </x:is>
      </x:c>
      <x:c r="K68" s="16">
        <x:v>22</x:v>
      </x:c>
      <x:c r="L68" s="16">
        <x:v>900001</x:v>
      </x:c>
    </x:row>
    <x:row r="69" ht="56" customHeight="1">
      <x:c r="A69" s="19">
        <x:v>213</x:v>
      </x:c>
      <x:c r="B69" s="16">
        <x:v>21</x:v>
      </x:c>
      <x:c r="C69" s="16">
        <x:v>3</x:v>
      </x:c>
      <x:c r="D69" s="17" t="inlineStr">
        <x:is>
          <x:t xml:space="preserve">[{"item_id":13,"quantity":4}]</x:t>
        </x:is>
      </x:c>
      <x:c r="E69" s="16">
        <x:v>20</x:v>
      </x:c>
      <x:c r="F69" s="17" t="inlineStr">
        <x:is>
          <x:t xml:space="preserve">{"native_rank":3}</x:t>
        </x:is>
      </x:c>
      <x:c r="G69" s="9" t="b">
        <x:v>1</x:v>
      </x:c>
      <x:c r="H69" s="17" t="inlineStr">
        <x:is>
          <x:t xml:space="preserve">candidate</x:t>
        </x:is>
      </x:c>
      <x:c r="I69" s="18" t="inlineStr">
        <x:is>
          <x:t xml:space="preserve">用户先城镇/安全区与绑定后推进21路线；rule15源码开发候选；Crystal Server/MirEnvir/Envir.cs:654–656、MirDatabase/MagicInfo.cs:18,219–221、MirObjects/HumanObject.cs:186,3375–3397,3424–3451,3537–3540,6096–6107、MirObjects/PlayerObject.cs:4633–4647；非目标1.80完整认证；用户已定目标阶+1本，页数沿既有逐阶开发候选</x:t>
        </x:is>
      </x:c>
      <x:c r="J69" s="18" t="inlineStr">
        <x:is>
          <x:t xml:space="preserve">仅native_rank改变MP和原生随机轴除数；书本2/3/4为用户既定公式，页数5/10/20候选保留，不启用随机练功。</x:t>
        </x:is>
      </x:c>
      <x:c r="K69" s="16">
        <x:v>25</x:v>
      </x:c>
      <x:c r="L69" s="16">
        <x:v>900001</x:v>
      </x:c>
    </x:row>
    <x:row r="70" ht="56" customHeight="1">
      <x:c r="A70" s="19">
        <x:v>171</x:v>
      </x:c>
      <x:c r="B70" s="16">
        <x:v>17</x:v>
      </x:c>
      <x:c r="C70" s="16">
        <x:v>1</x:v>
      </x:c>
      <x:c r="D70" s="17" t="inlineStr">
        <x:is>
          <x:t xml:space="preserve">[{"item_id":25,"quantity":2}]</x:t>
        </x:is>
      </x:c>
      <x:c r="E70" s="16">
        <x:v>5</x:v>
      </x:c>
      <x:c r="F70" s="17" t="inlineStr">
        <x:is>
          <x:t xml:space="preserve">{"native_rank":1}</x:t>
        </x:is>
      </x:c>
      <x:c r="G70" s="9" t="b">
        <x:v>1</x:v>
      </x:c>
      <x:c r="H70" s="17" t="inlineStr">
        <x:is>
          <x:t xml:space="preserve">candidate</x:t>
        </x:is>
      </x:c>
      <x:c r="I70" s="18" t="inlineStr">
        <x:is>
          <x:t xml:space="preserve">本任务rule17关闭的开发候选；MYF ApexM2_Magic.csv:18技能17、ApexM2_stditems.csv:27书25；Crystal MirEnvir/Envir.cs:997–1012 MP12+4/range0/learn19；HumanObject.cs:3424–3451,4399–4438；MagicInfo.cs:18默认CD1800；不是MYF16困魔咒，不认证原服部署；本任务已选Crystal19/22/26作开发候选，明确区别MYF19/23/26；书目标阶+1为既定公式，页数沿已审5/10/20候选</x:t>
        </x:is>
      </x:c>
      <x:c r="J70" s="18" t="inlineStr">
        <x:is>
          <x:t xml:space="preserve">仅关闭召唤catalog逐阶合同，保证完整Cfg.Validate；不进主22技能升级，不开商店/赠书/随机练功。</x:t>
        </x:is>
      </x:c>
      <x:c r="K70" s="16">
        <x:v>19</x:v>
      </x:c>
      <x:c r="L70" s="16">
        <x:v>900001</x:v>
      </x:c>
    </x:row>
    <x:row r="71" ht="56" customHeight="1">
      <x:c r="A71" s="19">
        <x:v>172</x:v>
      </x:c>
      <x:c r="B71" s="16">
        <x:v>17</x:v>
      </x:c>
      <x:c r="C71" s="16">
        <x:v>2</x:v>
      </x:c>
      <x:c r="D71" s="17" t="inlineStr">
        <x:is>
          <x:t xml:space="preserve">[{"item_id":25,"quantity":3}]</x:t>
        </x:is>
      </x:c>
      <x:c r="E71" s="16">
        <x:v>10</x:v>
      </x:c>
      <x:c r="F71" s="17" t="inlineStr">
        <x:is>
          <x:t xml:space="preserve">{"native_rank":2}</x:t>
        </x:is>
      </x:c>
      <x:c r="G71" s="9" t="b">
        <x:v>1</x:v>
      </x:c>
      <x:c r="H71" s="17" t="inlineStr">
        <x:is>
          <x:t xml:space="preserve">candidate</x:t>
        </x:is>
      </x:c>
      <x:c r="I71" s="18" t="inlineStr">
        <x:is>
          <x:t xml:space="preserve">本任务rule17关闭的开发候选；MYF ApexM2_Magic.csv:18技能17、ApexM2_stditems.csv:27书25；Crystal MirEnvir/Envir.cs:997–1012 MP12+4/range0/learn19；HumanObject.cs:3424–3451,4399–4438；MagicInfo.cs:18默认CD1800；不是MYF16困魔咒，不认证原服部署；本任务已选Crystal19/22/26作开发候选，明确区别MYF19/23/26；书目标阶+1为既定公式，页数沿已审5/10/20候选</x:t>
        </x:is>
      </x:c>
      <x:c r="J71" s="18" t="inlineStr">
        <x:is>
          <x:t xml:space="preserve">仅关闭召唤catalog逐阶合同，保证完整Cfg.Validate；不进主22技能升级，不开商店/赠书/随机练功。</x:t>
        </x:is>
      </x:c>
      <x:c r="K71" s="16">
        <x:v>22</x:v>
      </x:c>
      <x:c r="L71" s="16">
        <x:v>900001</x:v>
      </x:c>
    </x:row>
    <x:row r="72" ht="56" customHeight="1">
      <x:c r="A72" s="19">
        <x:v>173</x:v>
      </x:c>
      <x:c r="B72" s="16">
        <x:v>17</x:v>
      </x:c>
      <x:c r="C72" s="16">
        <x:v>3</x:v>
      </x:c>
      <x:c r="D72" s="17" t="inlineStr">
        <x:is>
          <x:t xml:space="preserve">[{"item_id":25,"quantity":4}]</x:t>
        </x:is>
      </x:c>
      <x:c r="E72" s="16">
        <x:v>20</x:v>
      </x:c>
      <x:c r="F72" s="17" t="inlineStr">
        <x:is>
          <x:t xml:space="preserve">{"native_rank":3}</x:t>
        </x:is>
      </x:c>
      <x:c r="G72" s="9" t="b">
        <x:v>1</x:v>
      </x:c>
      <x:c r="H72" s="17" t="inlineStr">
        <x:is>
          <x:t xml:space="preserve">candidate</x:t>
        </x:is>
      </x:c>
      <x:c r="I72" s="18" t="inlineStr">
        <x:is>
          <x:t xml:space="preserve">本任务rule17关闭的开发候选；MYF ApexM2_Magic.csv:18技能17、ApexM2_stditems.csv:27书25；Crystal MirEnvir/Envir.cs:997–1012 MP12+4/range0/learn19；HumanObject.cs:3424–3451,4399–4438；MagicInfo.cs:18默认CD1800；不是MYF16困魔咒，不认证原服部署；本任务已选Crystal19/22/26作开发候选，明确区别MYF19/23/26；书目标阶+1为既定公式，页数沿已审5/10/20候选</x:t>
        </x:is>
      </x:c>
      <x:c r="J72" s="18" t="inlineStr">
        <x:is>
          <x:t xml:space="preserve">仅关闭召唤catalog逐阶合同，保证完整Cfg.Validate；不进主22技能升级，不开商店/赠书/随机练功。</x:t>
        </x:is>
      </x:c>
      <x:c r="K72" s="16">
        <x:v>26</x:v>
      </x:c>
      <x:c r="L72" s="16">
        <x:v>900001</x:v>
      </x:c>
    </x:row>
  </x:sheetData>
  <x:conditionalFormatting sqref="A4:A1003">
    <x:cfRule type="expression" dxfId="508" priority="1">
      <x:formula>AND($A4&lt;&gt;"",ISBLANK(A4))</x:formula>
    </x:cfRule>
  </x:conditionalFormatting>
  <x:conditionalFormatting sqref="B4:B1003">
    <x:cfRule type="expression" dxfId="509" priority="2">
      <x:formula>AND($A4&lt;&gt;"",ISBLANK(B4))</x:formula>
    </x:cfRule>
  </x:conditionalFormatting>
  <x:conditionalFormatting sqref="C4:C1003">
    <x:cfRule type="expression" dxfId="510" priority="3">
      <x:formula>AND($A4&lt;&gt;"",ISBLANK(C4))</x:formula>
    </x:cfRule>
  </x:conditionalFormatting>
  <x:conditionalFormatting sqref="D4:D1003">
    <x:cfRule type="expression" dxfId="511" priority="4">
      <x:formula>AND($A4&lt;&gt;"",ISBLANK(D4))</x:formula>
    </x:cfRule>
  </x:conditionalFormatting>
  <x:conditionalFormatting sqref="E4:E1003">
    <x:cfRule type="expression" dxfId="512" priority="5">
      <x:formula>AND($A4&lt;&gt;"",ISBLANK(E4))</x:formula>
    </x:cfRule>
  </x:conditionalFormatting>
  <x:conditionalFormatting sqref="F4:F1003">
    <x:cfRule type="expression" dxfId="513" priority="6">
      <x:formula>AND($A4&lt;&gt;"",ISBLANK(F4))</x:formula>
    </x:cfRule>
  </x:conditionalFormatting>
  <x:conditionalFormatting sqref="G4:G1003">
    <x:cfRule type="expression" dxfId="514" priority="7">
      <x:formula>AND($A4&lt;&gt;"",ISBLANK(G4))</x:formula>
    </x:cfRule>
  </x:conditionalFormatting>
  <x:conditionalFormatting sqref="H4:H1003">
    <x:cfRule type="containsText" dxfId="515" priority="8" operator="containsText" text="candidate"/>
    <x:cfRule type="containsText" dxfId="516" priority="9" operator="containsText" text="unverified"/>
    <x:cfRule type="containsText" dxfId="517" priority="10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54" hidden="0" customWidth="1"/>
    <x:col min="4" max="4" width="5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模板键</x:v>
      </x:c>
      <x:c r="C1" s="7" t="str">
        <x:v>相对逻辑格偏移</x:v>
      </x:c>
      <x:c r="D1" s="7" t="str">
        <x:v>八方向旋转规则</x:v>
      </x:c>
      <x:c r="E1" s="7" t="str">
        <x:v>阻挡规则</x:v>
      </x:c>
      <x:c r="F1" s="7" t="str">
        <x:v>目标数</x:v>
      </x:c>
      <x:c r="G1" s="7" t="str">
        <x:v>视线规则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pattern_key</x:v>
      </x:c>
      <x:c r="C2" s="12" t="str">
        <x:v>relative_cells</x:v>
      </x:c>
      <x:c r="D2" s="12" t="str">
        <x:v>direction_rotation</x:v>
      </x:c>
      <x:c r="E2" s="12" t="str">
        <x:v>obstacle_policy</x:v>
      </x:c>
      <x:c r="F2" s="12" t="str">
        <x:v>max_targets</x:v>
      </x:c>
      <x:c r="G2" s="12" t="str">
        <x:v>line_of_sight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json / 必填 / both</x:v>
      </x:c>
      <x:c r="E3" s="15" t="str">
        <x:v>string / 必填 / both</x:v>
      </x:c>
      <x:c r="F3" s="15" t="str">
        <x:v>int / 可空 / both</x:v>
      </x:c>
      <x:c r="G3" s="15" t="str">
        <x:v>string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/>
      <x:c r="B4" s="17"/>
      <x:c r="C4" s="17"/>
      <x:c r="D4" s="17"/>
      <x:c r="E4" s="17"/>
      <x:c r="F4" s="16"/>
      <x:c r="G4" s="17"/>
      <x:c r="H4" s="17"/>
      <x:c r="I4" s="18"/>
      <x:c r="J4" s="18"/>
    </x:row>
    <x:row r="5" ht="15" hidden="0" customHeight="1">
      <x:c r="A5" s="19"/>
      <x:c r="B5" s="17"/>
      <x:c r="C5" s="17"/>
      <x:c r="D5" s="17"/>
      <x:c r="E5" s="17"/>
      <x:c r="F5" s="16"/>
      <x:c r="G5" s="17"/>
      <x:c r="H5" s="17"/>
      <x:c r="I5" s="18"/>
      <x:c r="J5" s="18"/>
    </x:row>
    <x:row r="6" ht="15" hidden="0" customHeight="1">
      <x:c r="A6" s="19"/>
      <x:c r="B6" s="17"/>
      <x:c r="C6" s="17"/>
      <x:c r="D6" s="17"/>
      <x:c r="E6" s="17"/>
      <x:c r="F6" s="16"/>
      <x:c r="G6" s="17"/>
      <x:c r="H6" s="17"/>
      <x:c r="I6" s="18"/>
      <x:c r="J6" s="18"/>
    </x:row>
    <x:row r="7" ht="15" hidden="0" customHeight="1">
      <x:c r="A7" s="19"/>
      <x:c r="B7" s="17"/>
      <x:c r="C7" s="17"/>
      <x:c r="D7" s="17"/>
      <x:c r="E7" s="17"/>
      <x:c r="F7" s="16"/>
      <x:c r="G7" s="17"/>
      <x:c r="H7" s="17"/>
      <x:c r="I7" s="18"/>
      <x:c r="J7" s="18"/>
    </x:row>
    <x:row r="8" ht="15" hidden="0" customHeight="1">
      <x:c r="A8" s="19"/>
      <x:c r="B8" s="17"/>
      <x:c r="C8" s="17"/>
      <x:c r="D8" s="17"/>
      <x:c r="E8" s="17"/>
      <x:c r="F8" s="16"/>
      <x:c r="G8" s="17"/>
      <x:c r="H8" s="17"/>
      <x:c r="I8" s="18"/>
      <x:c r="J8" s="18"/>
    </x:row>
    <x:row r="9" ht="15" hidden="0" customHeight="1">
      <x:c r="A9" s="19"/>
      <x:c r="B9" s="17"/>
      <x:c r="C9" s="17"/>
      <x:c r="D9" s="17"/>
      <x:c r="E9" s="17"/>
      <x:c r="F9" s="16"/>
      <x:c r="G9" s="17"/>
      <x:c r="H9" s="17"/>
      <x:c r="I9" s="18"/>
      <x:c r="J9" s="18"/>
    </x:row>
  </x:sheetData>
  <x:conditionalFormatting sqref="A4:A1003">
    <x:cfRule type="expression" dxfId="518" priority="1">
      <x:formula>AND($A4&lt;&gt;"",ISBLANK(A4))</x:formula>
    </x:cfRule>
  </x:conditionalFormatting>
  <x:conditionalFormatting sqref="B4:B1003">
    <x:cfRule type="expression" dxfId="519" priority="2">
      <x:formula>AND($A4&lt;&gt;"",ISBLANK(B4))</x:formula>
    </x:cfRule>
  </x:conditionalFormatting>
  <x:conditionalFormatting sqref="C4:C1003">
    <x:cfRule type="expression" dxfId="520" priority="3">
      <x:formula>AND($A4&lt;&gt;"",ISBLANK(C4))</x:formula>
    </x:cfRule>
  </x:conditionalFormatting>
  <x:conditionalFormatting sqref="D4:D1003">
    <x:cfRule type="expression" dxfId="521" priority="4">
      <x:formula>AND($A4&lt;&gt;"",ISBLANK(D4))</x:formula>
    </x:cfRule>
  </x:conditionalFormatting>
  <x:conditionalFormatting sqref="E4:E1003">
    <x:cfRule type="expression" dxfId="522" priority="5">
      <x:formula>AND($A4&lt;&gt;"",ISBLANK(E4))</x:formula>
    </x:cfRule>
  </x:conditionalFormatting>
  <x:conditionalFormatting sqref="G4:G1003">
    <x:cfRule type="expression" dxfId="523" priority="6">
      <x:formula>AND($A4&lt;&gt;"",ISBLANK(G4))</x:formula>
    </x:cfRule>
  </x:conditionalFormatting>
  <x:conditionalFormatting sqref="H4:H1003">
    <x:cfRule type="containsText" dxfId="524" priority="7" operator="containsText" text="candidate"/>
    <x:cfRule type="containsText" dxfId="525" priority="8" operator="containsText" text="unverified"/>
    <x:cfRule type="containsText" dxfId="526" priority="9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54" hidden="0" customWidth="1"/>
    <x:col min="4" max="4" width="18" hidden="0" customWidth="1"/>
    <x:col min="5" max="5" width="18" hidden="0" customWidth="1"/>
    <x:col min="6" max="6" width="18" hidden="0" customWidth="1"/>
    <x:col min="7" max="7" width="54" hidden="0" customWidth="1"/>
    <x:col min="8" max="8" width="54" hidden="0" customWidth="1"/>
    <x:col min="9" max="9" width="18" hidden="0" customWidth="1"/>
    <x:col min="10" max="10" width="18" hidden="0" customWidth="1"/>
    <x:col min="11" max="11" width="48" hidden="0" customWidth="1"/>
    <x:col min="12" max="12" width="70" hidden="0" customWidth="1"/>
    <x:col min="13" max="13" width="58" hidden="0" customWidth="1"/>
    <x:col min="14" max="14" width="24" hidden="0" customWidth="1"/>
    <x:col min="15" max="15" width="24" hidden="0" customWidth="1"/>
  </x:cols>
  <x:sheetData>
    <x:row r="1" ht="30" customHeight="1">
      <x:c r="A1" s="7" t="str">
        <x:v>配置编号</x:v>
      </x:c>
      <x:c r="B1" s="7" t="str">
        <x:v>Buff键</x:v>
      </x:c>
      <x:c r="C1" s="7" t="str">
        <x:v>属性效果</x:v>
      </x:c>
      <x:c r="D1" s="7" t="str">
        <x:v>持续时间</x:v>
      </x:c>
      <x:c r="E1" s="7" t="str">
        <x:v>周期</x:v>
      </x:c>
      <x:c r="F1" s="7" t="str">
        <x:v>取强刷新叠层规则</x:v>
      </x:c>
      <x:c r="G1" s="7" t="str">
        <x:v>解除条件</x:v>
      </x:c>
      <x:c r="H1" s="7" t="str">
        <x:v>免疫与抗性</x:v>
      </x:c>
      <x:c r="I1" s="7" t="str">
        <x:v>原版或扩展预算组</x:v>
      </x:c>
      <x:c r="J1" s="7" t="str">
        <x:v>参数状态</x:v>
      </x:c>
      <x:c r="K1" s="7" t="str">
        <x:v>来源章节与行号</x:v>
      </x:c>
      <x:c r="L1" s="7" t="str">
        <x:v>说明</x:v>
      </x:c>
      <x:c r="M1" s="7" t="str">
        <x:v>按施法属性计算时长</x:v>
      </x:c>
      <x:c r="N1" s="7" t="str">
        <x:v>状态名称</x:v>
      </x:c>
      <x:c r="O1" s="7" t="str">
        <x:v>徽标短名</x:v>
      </x:c>
    </x:row>
    <x:row r="2" ht="30" customHeight="1">
      <x:c r="A2" s="12" t="str">
        <x:v>id</x:v>
      </x:c>
      <x:c r="B2" s="12" t="str">
        <x:v>buff_key</x:v>
      </x:c>
      <x:c r="C2" s="12" t="str">
        <x:v>attribute_effects</x:v>
      </x:c>
      <x:c r="D2" s="12" t="str">
        <x:v>duration_ms</x:v>
      </x:c>
      <x:c r="E2" s="12" t="str">
        <x:v>tick_ms</x:v>
      </x:c>
      <x:c r="F2" s="12" t="str">
        <x:v>stack_policy</x:v>
      </x:c>
      <x:c r="G2" s="12" t="str">
        <x:v>remove_events</x:v>
      </x:c>
      <x:c r="H2" s="12" t="str">
        <x:v>immunity_rules</x:v>
      </x:c>
      <x:c r="I2" s="12" t="str">
        <x:v>budget_group</x:v>
      </x:c>
      <x:c r="J2" s="12" t="str">
        <x:v>record_status</x:v>
      </x:c>
      <x:c r="K2" s="12" t="str">
        <x:v>source_ref</x:v>
      </x:c>
      <x:c r="L2" s="12" t="str">
        <x:v>note</x:v>
      </x:c>
      <x:c r="M2" s="12" t="str">
        <x:v>duration_rule</x:v>
      </x:c>
      <x:c r="N2" s="12" t="str">
        <x:v>display_name</x:v>
      </x:c>
      <x:c r="O2" s="12" t="str">
        <x:v>short_name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int / 必填 / 毫秒 / both</x:v>
      </x:c>
      <x:c r="E3" s="15" t="str">
        <x:v>int / 可空 / 毫秒 / both</x:v>
      </x:c>
      <x:c r="F3" s="15" t="str">
        <x:v>string / 必填 / both</x:v>
      </x:c>
      <x:c r="G3" s="15" t="str">
        <x:v>json / 必填 / both</x:v>
      </x:c>
      <x:c r="H3" s="15" t="str">
        <x:v>json / 必填 / both</x:v>
      </x:c>
      <x:c r="I3" s="15" t="str">
        <x:v>string / 必填 / both</x:v>
      </x:c>
      <x:c r="J3" s="15" t="str">
        <x:v>string / 必填 / none</x:v>
      </x:c>
      <x:c r="K3" s="15" t="str">
        <x:v>string / 必填 / none</x:v>
      </x:c>
      <x:c r="L3" s="15" t="str">
        <x:v>string / 可空 / none</x:v>
      </x:c>
      <x:c r="M3" s="15" t="str">
        <x:v>json / 必填 / both</x:v>
      </x:c>
      <x:c r="N3" s="15" t="str">
        <x:v>string / 必填 / both</x:v>
      </x:c>
      <x:c r="O3" s="15" t="str">
        <x:v>string / 必填 / client</x:v>
      </x:c>
    </x:row>
    <x:row r="4" ht="160" hidden="0" customHeight="1">
      <x:c r="A4" s="23" t="n">
        <x:v>14</x:v>
      </x:c>
      <x:c r="B4" s="23" t="str">
        <x:v>soul_shield</x:v>
      </x:c>
      <x:c r="C4" s="23" t="str">
        <x:v>{"kind":"max_magic_defence","value_by_level":[0,0,0,0],"target_level_divisor":7,"target_level_add":4,"hit_duration_loss_ms_per_hp":0}</x:v>
      </x:c>
      <x:c r="D4" s="23" t="n">
        <x:v>0</x:v>
      </x:c>
      <x:c r="E4" s="23" t="n">
        <x:v>1000</x:v>
      </x:c>
      <x:c r="F4" s="23" t="str">
        <x:v>refresh_duration_keep_values</x:v>
      </x:c>
      <x:c r="G4" s="23" t="str">
        <x:v>["despawn","scene_dispose"]</x:v>
      </x:c>
      <x:c r="H4" s="23" t="str">
        <x:v>{"allow_dead_targets":true,"friendly_only":true}</x:v>
      </x:c>
      <x:c r="I4" s="23" t="str">
        <x:v>source_defence_candidate</x:v>
      </x:c>
      <x:c r="J4" s="23" t="str">
        <x:v>candidate</x:v>
      </x:c>
      <x:c r="K4" s="23" t="str">
        <x:v>docs/战斗状态与防御技能实施边界.md；资料参考/crystal/Server/MirObjects/HumanObject.cs与MirEnvir/Map.cs；开发候选，非目标1.80认证</x:v>
      </x:c>
      <x:c r="L4" s="23" t="str">
        <x:v>duration_ms=0表示无固定毫秒分量，实际时长按duration_rule计算。时钟按actualNow离散推进；重施/受击均不重置LastTime和NextTime。</x:v>
      </x:c>
      <x:c r="M4" s="23" t="str">
        <x:v>{"kind":"sc_rank_linear","stat_add":0,"stat_multiplier":4,"seconds_by_level":[50,100,150,200]}</x:v>
      </x:c>
      <x:c r="N4" s="23" t="str">
        <x:v>幽灵盾</x:v>
      </x:c>
      <x:c r="O4" s="23" t="str">
        <x:v>幽盾</x:v>
      </x:c>
    </x:row>
    <x:row r="5" ht="160" hidden="0" customHeight="1">
      <x:c r="A5" s="23" t="n">
        <x:v>15</x:v>
      </x:c>
      <x:c r="B5" s="23" t="str">
        <x:v>blessed_armour</x:v>
      </x:c>
      <x:c r="C5" s="23" t="str">
        <x:v>{"kind":"max_physical_defence","value_by_level":[0,0,0,0],"target_level_divisor":7,"target_level_add":4,"hit_duration_loss_ms_per_hp":0}</x:v>
      </x:c>
      <x:c r="D5" s="23" t="n">
        <x:v>0</x:v>
      </x:c>
      <x:c r="E5" s="23" t="n">
        <x:v>1000</x:v>
      </x:c>
      <x:c r="F5" s="23" t="str">
        <x:v>refresh_duration_keep_values</x:v>
      </x:c>
      <x:c r="G5" s="23" t="str">
        <x:v>["despawn","scene_dispose"]</x:v>
      </x:c>
      <x:c r="H5" s="23" t="str">
        <x:v>{"allow_dead_targets":true,"friendly_only":true}</x:v>
      </x:c>
      <x:c r="I5" s="23" t="str">
        <x:v>source_defence_candidate</x:v>
      </x:c>
      <x:c r="J5" s="23" t="str">
        <x:v>candidate</x:v>
      </x:c>
      <x:c r="K5" s="23" t="str">
        <x:v>docs/战斗状态与防御技能实施边界.md；资料参考/crystal/Server/MirObjects/HumanObject.cs与MirEnvir/Map.cs；开发候选，非目标1.80认证</x:v>
      </x:c>
      <x:c r="L5" s="23" t="str">
        <x:v>duration_ms=0表示无固定毫秒分量，实际时长按duration_rule计算。时钟按actualNow离散推进；重施/受击均不重置LastTime和NextTime。</x:v>
      </x:c>
      <x:c r="M5" s="23" t="str">
        <x:v>{"kind":"sc_rank_linear","stat_add":0,"stat_multiplier":4,"seconds_by_level":[50,100,150,200]}</x:v>
      </x:c>
      <x:c r="N5" s="23" t="str">
        <x:v>神圣战甲术</x:v>
      </x:c>
      <x:c r="O5" s="23" t="str">
        <x:v>战甲</x:v>
      </x:c>
    </x:row>
    <x:row r="6" ht="160" hidden="0" customHeight="1">
      <x:c r="A6" s="23" t="n">
        <x:v>31</x:v>
      </x:c>
      <x:c r="B6" s="23" t="str">
        <x:v>magic_shield</x:v>
      </x:c>
      <x:c r="C6" s="23" t="str">
        <x:v>{"kind":"magic_shield","value_by_level":[20,30,40,50],"target_level_divisor":0,"target_level_add":0,"hit_duration_loss_ms_per_hp":60}</x:v>
      </x:c>
      <x:c r="D6" s="23" t="n">
        <x:v>0</x:v>
      </x:c>
      <x:c r="E6" s="23" t="n">
        <x:v>1000</x:v>
      </x:c>
      <x:c r="F6" s="23" t="str">
        <x:v>ignore_present_on_impact</x:v>
      </x:c>
      <x:c r="G6" s="23" t="str">
        <x:v>["player_death","despawn","scene_dispose"]</x:v>
      </x:c>
      <x:c r="H6" s="23" t="str">
        <x:v>{"allow_dead_targets":false,"friendly_only":true}</x:v>
      </x:c>
      <x:c r="I6" s="23" t="str">
        <x:v>source_defence_candidate</x:v>
      </x:c>
      <x:c r="J6" s="23" t="str">
        <x:v>candidate</x:v>
      </x:c>
      <x:c r="K6" s="23" t="str">
        <x:v>docs/战斗状态与防御技能实施边界.md；资料参考/crystal/Server/MirObjects/HumanObject.cs与MirEnvir/Map.cs；开发候选，非目标1.80认证</x:v>
      </x:c>
      <x:c r="L6" s="23" t="str">
        <x:v>duration_ms=0表示无固定毫秒分量，实际时长按duration_rule计算。时钟按actualNow离散推进；重施/受击均不重置LastTime和NextTime。</x:v>
      </x:c>
      <x:c r="M6" s="23" t="str">
        <x:v>{"kind":"mc_source_power","stat_add":15,"stat_multiplier":0,"seconds_by_level":[0,0,0,0]}</x:v>
      </x:c>
      <x:c r="N6" s="23" t="str">
        <x:v>魔法盾</x:v>
      </x:c>
      <x:c r="O6" s="23" t="str">
        <x:v>魔盾</x:v>
      </x:c>
    </x:row>
    <x:row r="7" ht="15" hidden="0" customHeight="1">
      <x:c r="A7" s="19">
        <x:v>21</x:v>
      </x:c>
      <x:c r="B7" s="17" t="inlineStr">
        <x:is>
          <x:t xml:space="preserve">temporal_flux</x:t>
        </x:is>
      </x:c>
      <x:c r="C7" s="17" t="inlineStr">
        <x:is>
          <x:t xml:space="preserve">{"kind":"teleport_mana_penalty","value_by_level":[30,30,30,30],"target_level_divisor":0,"target_level_add":0,"hit_duration_loss_ms_per_hp":0}</x:t>
        </x:is>
      </x:c>
      <x:c r="D7" s="16">
        <x:v>30000</x:v>
      </x:c>
      <x:c r="E7" s="16">
        <x:v>1000</x:v>
      </x:c>
      <x:c r="F7" s="17" t="inlineStr">
        <x:is>
          <x:t xml:space="preserve">refresh_duration_keep_values</x:t>
        </x:is>
      </x:c>
      <x:c r="G7" s="17" t="inlineStr">
        <x:is>
          <x:t xml:space="preserve">["despawn","world_dispose"]</x:t>
        </x:is>
      </x:c>
      <x:c r="H7" s="17" t="inlineStr">
        <x:is>
          <x:t xml:space="preserve">{"allow_dead_targets":true,"friendly_only":true}</x:t>
        </x:is>
      </x:c>
      <x:c r="I7" s="17" t="inlineStr">
        <x:is>
          <x:t xml:space="preserve">source_teleport_candidate</x:t>
        </x:is>
      </x:c>
      <x:c r="J7" s="17" t="inlineStr">
        <x:is>
          <x:t xml:space="preserve">candidate</x:t>
        </x:is>
      </x:c>
      <x:c r="K7" s="18" t="inlineStr">
        <x:is>
          <x:t xml:space="preserve">Crystal Server/MirObjects/HumanObject.cs:6096–6107,397–450；MirObjects/MapObject.cs:570–595；MirDatabase/BuffInfo.cs:19；PlayerObject.cs:578–667；TemporalFlux仅成功后添加、重置时长、不随死亡或安全区暂停</x:t>
        </x:is>
      </x:c>
      <x:c r="L7" s="18" t="inlineStr">
        <x:is>
          <x:t xml:space="preserve">唯一固定时长在duration_ms，秒数数组保持空；百分比只在attribute_effects逐阶数组。成功传送后添加，允许已受理尸体到期成功；健康跨图/重连不移除、不退款、不复活。</x:t>
        </x:is>
      </x:c>
      <x:c r="M7" t="inlineStr">
        <x:is>
          <x:t xml:space="preserve">{"kind":"fixed_ms","stat_add":0,"stat_multiplier":0,"seconds_by_level":[]}</x:t>
        </x:is>
      </x:c>
      <x:c r="N7" t="inlineStr">
        <x:is>
          <x:t xml:space="preserve">时空波动</x:t>
        </x:is>
      </x:c>
      <x:c r="O7" t="inlineStr">
        <x:is>
          <x:t xml:space="preserve">时空</x:t>
        </x:is>
      </x:c>
    </x:row>
    <x:row r="8" ht="15" hidden="0" customHeight="1">
      <x:c r="A8" s="19"/>
      <x:c r="B8" s="17"/>
      <x:c r="C8" s="17"/>
      <x:c r="D8" s="16"/>
      <x:c r="E8" s="16"/>
      <x:c r="F8" s="17"/>
      <x:c r="G8" s="17"/>
      <x:c r="H8" s="17"/>
      <x:c r="I8" s="17"/>
      <x:c r="J8" s="17"/>
      <x:c r="K8" s="18"/>
      <x:c r="L8" s="18"/>
    </x:row>
    <x:row r="9" ht="15" hidden="0" customHeight="1">
      <x:c r="A9" s="19"/>
      <x:c r="B9" s="17"/>
      <x:c r="C9" s="17"/>
      <x:c r="D9" s="16"/>
      <x:c r="E9" s="16"/>
      <x:c r="F9" s="17"/>
      <x:c r="G9" s="17"/>
      <x:c r="H9" s="17"/>
      <x:c r="I9" s="17"/>
      <x:c r="J9" s="17"/>
      <x:c r="K9" s="18"/>
      <x:c r="L9" s="18"/>
    </x:row>
  </x:sheetData>
  <x:conditionalFormatting sqref="A4:A1003">
    <x:cfRule type="expression" dxfId="527" priority="1">
      <x:formula>AND($A4&lt;&gt;"",ISBLANK(A4))</x:formula>
    </x:cfRule>
  </x:conditionalFormatting>
  <x:conditionalFormatting sqref="B4:B1003">
    <x:cfRule type="expression" dxfId="528" priority="2">
      <x:formula>AND($A4&lt;&gt;"",ISBLANK(B4))</x:formula>
    </x:cfRule>
  </x:conditionalFormatting>
  <x:conditionalFormatting sqref="C4:C1003">
    <x:cfRule type="expression" dxfId="529" priority="3">
      <x:formula>AND($A4&lt;&gt;"",ISBLANK(C4))</x:formula>
    </x:cfRule>
  </x:conditionalFormatting>
  <x:conditionalFormatting sqref="D4:D1003">
    <x:cfRule type="expression" dxfId="530" priority="4">
      <x:formula>AND($A4&lt;&gt;"",ISBLANK(D4))</x:formula>
    </x:cfRule>
  </x:conditionalFormatting>
  <x:conditionalFormatting sqref="F4:F1003">
    <x:cfRule type="expression" dxfId="531" priority="5">
      <x:formula>AND($A4&lt;&gt;"",ISBLANK(F4))</x:formula>
    </x:cfRule>
  </x:conditionalFormatting>
  <x:conditionalFormatting sqref="G4:G1003">
    <x:cfRule type="expression" dxfId="532" priority="6">
      <x:formula>AND($A4&lt;&gt;"",ISBLANK(G4))</x:formula>
    </x:cfRule>
  </x:conditionalFormatting>
  <x:conditionalFormatting sqref="H4:H1003">
    <x:cfRule type="expression" dxfId="533" priority="7">
      <x:formula>AND($A4&lt;&gt;"",ISBLANK(H4))</x:formula>
    </x:cfRule>
  </x:conditionalFormatting>
  <x:conditionalFormatting sqref="I4:I1003">
    <x:cfRule type="expression" dxfId="534" priority="8">
      <x:formula>AND($A4&lt;&gt;"",ISBLANK(I4))</x:formula>
    </x:cfRule>
  </x:conditionalFormatting>
  <x:conditionalFormatting sqref="J4:J1003">
    <x:cfRule type="containsText" dxfId="535" priority="9" operator="containsText" text="candidate"/>
    <x:cfRule type="containsText" dxfId="536" priority="10" operator="containsText" text="unverified"/>
    <x:cfRule type="containsText" dxfId="537" priority="11" operator="containsText" text="historical"/>
  </x:conditionalFormatting>
  <x:dataValidations count="1">
    <x:dataValidation type="list" sqref="J4:J1003">
      <x:formula1>"confirmed,candidate,unverified,historical"</x:formula1>
    </x:dataValidation>
  </x:dataValidations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18" hidden="0" customWidth="1"/>
    <x:col min="6" max="6" width="54" hidden="0" customWidth="1"/>
    <x:col min="7" max="7" width="54" hidden="0" customWidth="1"/>
    <x:col min="8" max="8" width="27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效果键</x:v>
      </x:c>
      <x:c r="C1" s="7" t="str">
        <x:v>效果类型</x:v>
      </x:c>
      <x:c r="D1" s="7" t="str">
        <x:v>有类型效果参数</x:v>
      </x:c>
      <x:c r="E1" s="7" t="str">
        <x:v>结算阶段</x:v>
      </x:c>
      <x:c r="F1" s="7" t="str">
        <x:v>目标规则</x:v>
      </x:c>
      <x:c r="G1" s="7" t="str">
        <x:v>触发次数间隔上限</x:v>
      </x:c>
      <x:c r="H1" s="7" t="str">
        <x:v>允许递归触发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effect_key</x:v>
      </x:c>
      <x:c r="C2" s="12" t="str">
        <x:v>effect_type</x:v>
      </x:c>
      <x:c r="D2" s="12" t="str">
        <x:v>parameters</x:v>
      </x:c>
      <x:c r="E2" s="12" t="str">
        <x:v>trigger_phase</x:v>
      </x:c>
      <x:c r="F2" s="12" t="str">
        <x:v>target_rule</x:v>
      </x:c>
      <x:c r="G2" s="12" t="str">
        <x:v>proc_limit</x:v>
      </x:c>
      <x:c r="H2" s="12" t="str">
        <x:v>recursive_trigger_allowed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json / 必填 / both</x:v>
      </x:c>
      <x:c r="E3" s="15" t="str">
        <x:v>string / 必填 / both</x:v>
      </x:c>
      <x:c r="F3" s="15" t="str">
        <x:v>json / 必填 / both</x:v>
      </x:c>
      <x:c r="G3" s="15" t="str">
        <x:v>json / 必填 / both</x:v>
      </x:c>
      <x:c r="H3" s="15" t="str">
        <x:v>bool / 必填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60" hidden="0" customHeight="1">
      <x:c r="A4" s="23" t="n">
        <x:v>14</x:v>
      </x:c>
      <x:c r="B4" s="23" t="str">
        <x:v>apply_soul_shield</x:v>
      </x:c>
      <x:c r="C4" s="23" t="str">
        <x:v>defensive_buff</x:v>
      </x:c>
      <x:c r="D4" s="23" t="str">
        <x:v>{"buff_id":14}</x:v>
      </x:c>
      <x:c r="E4" s="23" t="str">
        <x:v>cast_impact</x:v>
      </x:c>
      <x:c r="F4" s="23" t="str">
        <x:v>{"kind":"friendly_grid"}</x:v>
      </x:c>
      <x:c r="G4" s="23" t="str">
        <x:v>{"per_cast":1}</x:v>
      </x:c>
      <x:c r="H4" s="24" t="b">
        <x:v>0</x:v>
      </x:c>
      <x:c r="I4" s="23" t="str">
        <x:v>candidate</x:v>
      </x:c>
      <x:c r="J4" s="23" t="str">
        <x:v>docs/战斗状态与防御技能实施边界.md；资料参考/crystal/Server/MirObjects/HumanObject.cs与MirEnvir/Map.cs；开发候选，非目标1.80认证</x:v>
      </x:c>
      <x:c r="K4" s="23" t="str">
        <x:v>仅应用引用的有类型防御状态；不递归触发，不把表现完成当权威命中。</x:v>
      </x:c>
    </x:row>
    <x:row r="5" ht="160" hidden="0" customHeight="1">
      <x:c r="A5" s="23" t="n">
        <x:v>15</x:v>
      </x:c>
      <x:c r="B5" s="23" t="str">
        <x:v>apply_blessed_armour</x:v>
      </x:c>
      <x:c r="C5" s="23" t="str">
        <x:v>defensive_buff</x:v>
      </x:c>
      <x:c r="D5" s="23" t="str">
        <x:v>{"buff_id":15}</x:v>
      </x:c>
      <x:c r="E5" s="23" t="str">
        <x:v>cast_impact</x:v>
      </x:c>
      <x:c r="F5" s="23" t="str">
        <x:v>{"kind":"friendly_grid"}</x:v>
      </x:c>
      <x:c r="G5" s="23" t="str">
        <x:v>{"per_cast":1}</x:v>
      </x:c>
      <x:c r="H5" s="24" t="b">
        <x:v>0</x:v>
      </x:c>
      <x:c r="I5" s="23" t="str">
        <x:v>candidate</x:v>
      </x:c>
      <x:c r="J5" s="23" t="str">
        <x:v>docs/战斗状态与防御技能实施边界.md；资料参考/crystal/Server/MirObjects/HumanObject.cs与MirEnvir/Map.cs；开发候选，非目标1.80认证</x:v>
      </x:c>
      <x:c r="K5" s="23" t="str">
        <x:v>仅应用引用的有类型防御状态；不递归触发，不把表现完成当权威命中。</x:v>
      </x:c>
    </x:row>
    <x:row r="6" ht="160" hidden="0" customHeight="1">
      <x:c r="A6" s="23" t="n">
        <x:v>31</x:v>
      </x:c>
      <x:c r="B6" s="23" t="str">
        <x:v>apply_magic_shield</x:v>
      </x:c>
      <x:c r="C6" s="23" t="str">
        <x:v>defensive_buff</x:v>
      </x:c>
      <x:c r="D6" s="23" t="str">
        <x:v>{"buff_id":31}</x:v>
      </x:c>
      <x:c r="E6" s="23" t="str">
        <x:v>cast_impact</x:v>
      </x:c>
      <x:c r="F6" s="23" t="str">
        <x:v>{"kind":"friendly_self"}</x:v>
      </x:c>
      <x:c r="G6" s="23" t="str">
        <x:v>{"per_cast":1}</x:v>
      </x:c>
      <x:c r="H6" s="24" t="b">
        <x:v>0</x:v>
      </x:c>
      <x:c r="I6" s="23" t="str">
        <x:v>candidate</x:v>
      </x:c>
      <x:c r="J6" s="23" t="str">
        <x:v>docs/战斗状态与防御技能实施边界.md；资料参考/crystal/Server/MirObjects/HumanObject.cs与MirEnvir/Map.cs；开发候选，非目标1.80认证</x:v>
      </x:c>
      <x:c r="K6" s="23" t="str">
        <x:v>仅应用引用的有类型防御状态；不递归触发，不把表现完成当权威命中。</x:v>
      </x:c>
    </x:row>
    <x:row r="7" ht="15" hidden="0" customHeight="1">
      <x:c r="A7" s="19">
        <x:v>21</x:v>
      </x:c>
      <x:c r="B7" s="17" t="inlineStr">
        <x:is>
          <x:t xml:space="preserve">apply_temporal_flux_after_teleport</x:t>
        </x:is>
      </x:c>
      <x:c r="C7" s="17" t="inlineStr">
        <x:is>
          <x:t xml:space="preserve">teleport_success_buff</x:t>
        </x:is>
      </x:c>
      <x:c r="D7" s="17" t="inlineStr">
        <x:is>
          <x:t xml:space="preserve">{"buff_id":21}</x:t>
        </x:is>
      </x:c>
      <x:c r="E7" s="17" t="inlineStr">
        <x:is>
          <x:t xml:space="preserve">teleport_success</x:t>
        </x:is>
      </x:c>
      <x:c r="F7" s="17" t="inlineStr">
        <x:is>
          <x:t xml:space="preserve">{"kind":"friendly_self"}</x:t>
        </x:is>
      </x:c>
      <x:c r="G7" s="17" t="inlineStr">
        <x:is>
          <x:t xml:space="preserve">{"per_cast":1}</x:t>
        </x:is>
      </x:c>
      <x:c r="H7" s="2" t="b">
        <x:v>0</x:v>
      </x:c>
      <x:c r="I7" s="17" t="inlineStr">
        <x:is>
          <x:t xml:space="preserve">candidate</x:t>
        </x:is>
      </x:c>
      <x:c r="J7" s="18" t="inlineStr">
        <x:is>
          <x:t xml:space="preserve">Crystal Server/MirObjects/HumanObject.cs:6096–6107,397–450；MirObjects/MapObject.cs:570–595；MirDatabase/BuffInfo.cs:19；PlayerObject.cs:578–667；TemporalFlux仅成功后添加、重置时长、不随死亡或安全区暂停</x:t>
        </x:is>
      </x:c>
      <x:c r="K7" s="18" t="inlineStr">
        <x:is>
          <x:t xml:space="preserve">独立传送成功后置；NoTeleport/200次尝试失败或取消不触发，不能套cast_impact；每次cast至多一次，不递归，也不复活尸体。</x:t>
        </x:is>
      </x:c>
    </x:row>
    <x:row r="8" ht="15" hidden="0" customHeight="1">
      <x:c r="A8" s="19"/>
      <x:c r="B8" s="17"/>
      <x:c r="C8" s="17"/>
      <x:c r="D8" s="17"/>
      <x:c r="E8" s="17"/>
      <x:c r="F8" s="17"/>
      <x:c r="G8" s="17"/>
      <x:c r="H8" s="2"/>
      <x:c r="I8" s="17"/>
      <x:c r="J8" s="18"/>
      <x:c r="K8" s="18"/>
    </x:row>
    <x:row r="9" ht="15" hidden="0" customHeight="1">
      <x:c r="A9" s="19"/>
      <x:c r="B9" s="17"/>
      <x:c r="C9" s="17"/>
      <x:c r="D9" s="17"/>
      <x:c r="E9" s="17"/>
      <x:c r="F9" s="17"/>
      <x:c r="G9" s="17"/>
      <x:c r="H9" s="2"/>
      <x:c r="I9" s="17"/>
      <x:c r="J9" s="18"/>
      <x:c r="K9" s="18"/>
    </x:row>
  </x:sheetData>
  <x:conditionalFormatting sqref="A4:A1003">
    <x:cfRule type="expression" dxfId="538" priority="1">
      <x:formula>AND($A4&lt;&gt;"",ISBLANK(A4))</x:formula>
    </x:cfRule>
  </x:conditionalFormatting>
  <x:conditionalFormatting sqref="B4:B1003">
    <x:cfRule type="expression" dxfId="539" priority="2">
      <x:formula>AND($A4&lt;&gt;"",ISBLANK(B4))</x:formula>
    </x:cfRule>
  </x:conditionalFormatting>
  <x:conditionalFormatting sqref="C4:C1003">
    <x:cfRule type="expression" dxfId="540" priority="3">
      <x:formula>AND($A4&lt;&gt;"",ISBLANK(C4))</x:formula>
    </x:cfRule>
  </x:conditionalFormatting>
  <x:conditionalFormatting sqref="D4:D1003">
    <x:cfRule type="expression" dxfId="541" priority="4">
      <x:formula>AND($A4&lt;&gt;"",ISBLANK(D4))</x:formula>
    </x:cfRule>
  </x:conditionalFormatting>
  <x:conditionalFormatting sqref="E4:E1003">
    <x:cfRule type="expression" dxfId="542" priority="5">
      <x:formula>AND($A4&lt;&gt;"",ISBLANK(E4))</x:formula>
    </x:cfRule>
  </x:conditionalFormatting>
  <x:conditionalFormatting sqref="F4:F1003">
    <x:cfRule type="expression" dxfId="543" priority="6">
      <x:formula>AND($A4&lt;&gt;"",ISBLANK(F4))</x:formula>
    </x:cfRule>
  </x:conditionalFormatting>
  <x:conditionalFormatting sqref="G4:G1003">
    <x:cfRule type="expression" dxfId="544" priority="7">
      <x:formula>AND($A4&lt;&gt;"",ISBLANK(G4))</x:formula>
    </x:cfRule>
  </x:conditionalFormatting>
  <x:conditionalFormatting sqref="H4:H1003">
    <x:cfRule type="expression" dxfId="545" priority="8">
      <x:formula>AND($A4&lt;&gt;"",ISBLANK(H4))</x:formula>
    </x:cfRule>
  </x:conditionalFormatting>
  <x:conditionalFormatting sqref="I4:I1003">
    <x:cfRule type="containsText" dxfId="546" priority="9" operator="containsText" text="candidate"/>
    <x:cfRule type="containsText" dxfId="547" priority="10" operator="containsText" text="unverified"/>
    <x:cfRule type="containsText" dxfId="548" priority="11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1" hidden="0" customWidth="1"/>
    <x:col min="5" max="5" width="54" hidden="0" customWidth="1"/>
    <x:col min="6" max="6" width="18" hidden="0" customWidth="1"/>
    <x:col min="7" max="7" width="54" hidden="0" customWidth="1"/>
    <x:col min="8" max="8" width="54" hidden="0" customWidth="1"/>
    <x:col min="9" max="9" width="18" hidden="0" customWidth="1"/>
    <x:col min="10" max="10" width="18" hidden="0" customWidth="1"/>
    <x:col min="11" max="11" width="48" hidden="0" customWidth="1"/>
    <x:col min="12" max="12" width="70" hidden="0" customWidth="1"/>
  </x:cols>
  <x:sheetData>
    <x:row r="1" ht="30" customHeight="1">
      <x:c r="A1" s="7" t="str">
        <x:v>配置编号</x:v>
      </x:c>
      <x:c r="B1" s="7" t="str">
        <x:v>宠物键</x:v>
      </x:c>
      <x:c r="C1" s="7" t="str">
        <x:v>来源技能</x:v>
      </x:c>
      <x:c r="D1" s="7" t="str">
        <x:v>模板来源</x:v>
      </x:c>
      <x:c r="E1" s="7" t="str">
        <x:v>基础属性</x:v>
      </x:c>
      <x:c r="F1" s="7" t="str">
        <x:v>近远程与技能行为</x:v>
      </x:c>
      <x:c r="G1" s="7" t="str">
        <x:v>跟随寻路回归</x:v>
      </x:c>
      <x:c r="H1" s="7" t="str">
        <x:v>寿命叛变限制</x:v>
      </x:c>
      <x:c r="I1" s="7" t="str">
        <x:v>八方向资源键</x:v>
      </x:c>
      <x:c r="J1" s="7" t="str">
        <x:v>参数状态</x:v>
      </x:c>
      <x:c r="K1" s="7" t="str">
        <x:v>来源章节与行号</x:v>
      </x:c>
      <x:c r="L1" s="7" t="str">
        <x:v>说明</x:v>
      </x:c>
    </x:row>
    <x:row r="2" ht="30" customHeight="1">
      <x:c r="A2" s="12" t="str">
        <x:v>id</x:v>
      </x:c>
      <x:c r="B2" s="12" t="str">
        <x:v>pet_key</x:v>
      </x:c>
      <x:c r="C2" s="12" t="str">
        <x:v>summon_skill_id</x:v>
      </x:c>
      <x:c r="D2" s="12" t="str">
        <x:v>monster_template_id</x:v>
      </x:c>
      <x:c r="E2" s="12" t="str">
        <x:v>base_attributes</x:v>
      </x:c>
      <x:c r="F2" s="12" t="str">
        <x:v>attack_behavior</x:v>
      </x:c>
      <x:c r="G2" s="12" t="str">
        <x:v>follow_and_return</x:v>
      </x:c>
      <x:c r="H2" s="12" t="str">
        <x:v>lifetime_and_betrayal</x:v>
      </x:c>
      <x:c r="I2" s="12" t="str">
        <x:v>resource_key</x:v>
      </x:c>
      <x:c r="J2" s="12" t="str">
        <x:v>record_status</x:v>
      </x:c>
      <x:c r="K2" s="12" t="str">
        <x:v>source_ref</x:v>
      </x:c>
      <x:c r="L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int / 可空 / both</x:v>
      </x:c>
      <x:c r="E3" s="15" t="str">
        <x:v>json / 必填 / both</x:v>
      </x:c>
      <x:c r="F3" s="15" t="str">
        <x:v>string / 必填 / both</x:v>
      </x:c>
      <x:c r="G3" s="15" t="str">
        <x:v>json / 必填 / both</x:v>
      </x:c>
      <x:c r="H3" s="15" t="str">
        <x:v>json / 必填 / both</x:v>
      </x:c>
      <x:c r="I3" s="15" t="str">
        <x:v>string / 必填 / both</x:v>
      </x:c>
      <x:c r="J3" s="15" t="str">
        <x:v>string / 必填 / none</x:v>
      </x:c>
      <x:c r="K3" s="15" t="str">
        <x:v>string / 必填 / none</x:v>
      </x:c>
      <x:c r="L3" s="15" t="str">
        <x:v>string / 可空 / none</x:v>
      </x:c>
    </x:row>
    <x:row r="4" ht="39.599998474121094" hidden="0" customHeight="1">
      <x:c r="A4" s="19" t="n">
        <x:v>1</x:v>
      </x:c>
      <x:c r="B4" s="17" t="str">
        <x:v>dev_skeleton</x:v>
      </x:c>
      <x:c r="C4" s="16">
        <x:v>17</x:v>
      </x:c>
      <x:c r="D4" s="16" t="n">
        <x:v>2</x:v>
      </x:c>
      <x:c r="E4" s="17" t="inlineStr">
        <x:is>
          <x:t xml:space="preserve">{"kind":"inherit_monster_template","owner_job_id":2,"neutral_attributes":{"attack_speed":0,"magic_max":0,"magic_min":0,"magic_resist":0,"tao_max":0,"tao_min":0},"magic_resist_weight_source":"profile_player_shared"}</x:t>
        </x:is>
      </x:c>
      <x:c r="F4" s="17" t="str">
        <x:v>development_melee_adjacent</x:v>
      </x:c>
      <x:c r="G4" s="17" t="inlineStr">
        <x:is>
          <x:t xml:space="preserve">{"source_skill_id":17,"training":{"initial_level_by_rank":[0,1,2,3],"maximum_level_by_rank":[4,5,6,7],"experience_multiplier":3,"owner_range_cells":16,"experience_basis":"owner_actual_granted_experience","grant_phase":"confirmed_owner_experience","eligibility":"alive_same_world_within_owner_range","max_level_ups_per_grant":1,"excess_experience":"keep","at_maximum":"do_not_accumulate","current_hp_on_growth":"keep"},"speed":{"basis":"maximum_training_level","move_reduction_ms_per_level":130,"attack_reduction_ms_per_level":70,"minimum_move_interval_ms":400,"minimum_attack_interval_ms":400},"recall_name":"BoneFamiliar"}</x:t>
        </x:is>
      </x:c>
      <x:c r="H4" s="17" t="inlineStr">
        <x:is>
          <x:t xml:space="preserve">{"corpse_ttl_ms":180000,"spawn_ready_ms":2000,"live_expiry":"no_tame_expiry","cold_enter":"do_not_restore_temporary_pet"}</x:t>
        </x:is>
      </x:c>
      <x:c r="I4" s="17" t="str">
        <x:v>pet_skeleton</x:v>
      </x:c>
      <x:c r="J4" s="17" t="str">
        <x:v>candidate</x:v>
      </x:c>
      <x:c r="K4" s="18" t="inlineStr">
        <x:is>
          <x:t xml:space="preserve">本任务rule16开发候选；资料索引/职业宠物补充来源契约.json；Crystal MonsterObject.cs:811–833,3502–3515；PlayerObject.cs:895–899；Shared/Globals.cs:37；本任务选择BoneFamiliar/AI23行为的跨MYF候选；Crystal MonsterObject.cs:584–599,689–704,734–736,966–1005,1205–1215；MapObject.cs:358–375；不认证MYF Race100等于AI23；MYF Monster.csv:381基础模板由monster_template_id唯一引用；资料索引/职业宠物补充来源契约.json及crystal-supplement/source-slices/Settings.pet-defaults.json:技术行162 SkeletonName=BoneFamiliar；与MYF变异骷髅是明确跨来源候选，不是客户端display_name</x:t>
        </x:is>
      </x:c>
      <x:c r="L4" s="18" t="inlineStr">
        <x:is>
          <x:t xml:space="preserve">rule17主仍原免费legacy_untrained_pet且不训练；summon_skill_id17仅正式候选引用，不加入运行skill_ids。RecallName大小写敏感同名，不由DefinitionID/显示名推断；现有Training.owner_range_cells唯一16兼作源自动Recall范围，未复制第二个16；出生2000/尸体180000不变。</x:t>
        </x:is>
      </x:c>
    </x:row>
    <x:row r="5" ht="15" hidden="0" customHeight="1">
      <x:c r="A5" s="19"/>
      <x:c r="B5" s="17"/>
      <x:c r="C5" s="16"/>
      <x:c r="D5" s="16"/>
      <x:c r="E5" s="17"/>
      <x:c r="F5" s="17"/>
      <x:c r="G5" s="17"/>
      <x:c r="H5" s="17"/>
      <x:c r="I5" s="17"/>
      <x:c r="J5" s="17"/>
      <x:c r="K5" s="18"/>
      <x:c r="L5" s="18"/>
    </x:row>
    <x:row r="6" ht="15" hidden="0" customHeight="1">
      <x:c r="A6" s="19"/>
      <x:c r="B6" s="17"/>
      <x:c r="C6" s="16"/>
      <x:c r="D6" s="16"/>
      <x:c r="E6" s="17"/>
      <x:c r="F6" s="17"/>
      <x:c r="G6" s="17"/>
      <x:c r="H6" s="17"/>
      <x:c r="I6" s="17"/>
      <x:c r="J6" s="17"/>
      <x:c r="K6" s="18"/>
      <x:c r="L6" s="18"/>
    </x:row>
    <x:row r="7" ht="15" hidden="0" customHeight="1">
      <x:c r="A7" s="19"/>
      <x:c r="B7" s="17"/>
      <x:c r="C7" s="16"/>
      <x:c r="D7" s="16"/>
      <x:c r="E7" s="17"/>
      <x:c r="F7" s="17"/>
      <x:c r="G7" s="17"/>
      <x:c r="H7" s="17"/>
      <x:c r="I7" s="17"/>
      <x:c r="J7" s="17"/>
      <x:c r="K7" s="18"/>
      <x:c r="L7" s="18"/>
    </x:row>
    <x:row r="8" ht="15" hidden="0" customHeight="1">
      <x:c r="A8" s="19"/>
      <x:c r="B8" s="17"/>
      <x:c r="C8" s="16"/>
      <x:c r="D8" s="16"/>
      <x:c r="E8" s="17"/>
      <x:c r="F8" s="17"/>
      <x:c r="G8" s="17"/>
      <x:c r="H8" s="17"/>
      <x:c r="I8" s="17"/>
      <x:c r="J8" s="17"/>
      <x:c r="K8" s="18"/>
      <x:c r="L8" s="18"/>
    </x:row>
    <x:row r="9" ht="15" hidden="0" customHeight="1">
      <x:c r="A9" s="19"/>
      <x:c r="B9" s="17"/>
      <x:c r="C9" s="16"/>
      <x:c r="D9" s="16"/>
      <x:c r="E9" s="17"/>
      <x:c r="F9" s="17"/>
      <x:c r="G9" s="17"/>
      <x:c r="H9" s="17"/>
      <x:c r="I9" s="17"/>
      <x:c r="J9" s="17"/>
      <x:c r="K9" s="18"/>
      <x:c r="L9" s="18"/>
    </x:row>
  </x:sheetData>
  <x:conditionalFormatting sqref="A4:A1003">
    <x:cfRule type="expression" dxfId="549" priority="1">
      <x:formula>AND($A4&lt;&gt;"",ISBLANK(A4))</x:formula>
    </x:cfRule>
  </x:conditionalFormatting>
  <x:conditionalFormatting sqref="B4:B1003">
    <x:cfRule type="expression" dxfId="550" priority="2">
      <x:formula>AND($A4&lt;&gt;"",ISBLANK(B4))</x:formula>
    </x:cfRule>
  </x:conditionalFormatting>
  <x:conditionalFormatting sqref="C4:C1003">
    <x:cfRule type="expression" dxfId="551" priority="3">
      <x:formula>AND($A4&lt;&gt;"",ISBLANK(C4))</x:formula>
    </x:cfRule>
  </x:conditionalFormatting>
  <x:conditionalFormatting sqref="E4:E1003">
    <x:cfRule type="expression" dxfId="552" priority="4">
      <x:formula>AND($A4&lt;&gt;"",ISBLANK(E4))</x:formula>
    </x:cfRule>
  </x:conditionalFormatting>
  <x:conditionalFormatting sqref="F4:F1003">
    <x:cfRule type="expression" dxfId="553" priority="5">
      <x:formula>AND($A4&lt;&gt;"",ISBLANK(F4))</x:formula>
    </x:cfRule>
  </x:conditionalFormatting>
  <x:conditionalFormatting sqref="G4:G1003">
    <x:cfRule type="expression" dxfId="554" priority="6">
      <x:formula>AND($A4&lt;&gt;"",ISBLANK(G4))</x:formula>
    </x:cfRule>
  </x:conditionalFormatting>
  <x:conditionalFormatting sqref="H4:H1003">
    <x:cfRule type="expression" dxfId="555" priority="7">
      <x:formula>AND($A4&lt;&gt;"",ISBLANK(H4))</x:formula>
    </x:cfRule>
  </x:conditionalFormatting>
  <x:conditionalFormatting sqref="I4:I1003">
    <x:cfRule type="expression" dxfId="556" priority="8">
      <x:formula>AND($A4&lt;&gt;"",ISBLANK(I4))</x:formula>
    </x:cfRule>
  </x:conditionalFormatting>
  <x:conditionalFormatting sqref="J4:J1003">
    <x:cfRule type="containsText" dxfId="557" priority="9" operator="containsText" text="candidate"/>
    <x:cfRule type="containsText" dxfId="558" priority="10" operator="containsText" text="unverified"/>
    <x:cfRule type="containsText" dxfId="559" priority="11" operator="containsText" text="historical"/>
  </x:conditionalFormatting>
  <x:dataValidations count="1">
    <x:dataValidation type="list" sqref="J4:J1003">
      <x:formula1>"confirmed,candidate,unverified,historical"</x:formula1>
    </x:dataValidation>
  </x:dataValidations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54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宠物模板</x:v>
      </x:c>
      <x:c r="C1" s="7" t="str">
        <x:v>成长等级</x:v>
      </x:c>
      <x:c r="D1" s="7" t="str">
        <x:v>有类型成长属性</x:v>
      </x:c>
      <x:c r="E1" s="7" t="str">
        <x:v>成长条件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pet_id</x:v>
      </x:c>
      <x:c r="C2" s="12" t="str">
        <x:v>growth_level</x:v>
      </x:c>
      <x:c r="D2" s="12" t="str">
        <x:v>attributes</x:v>
      </x:c>
      <x:c r="E2" s="12" t="str">
        <x:v>required_conditions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json / 必填 / both</x:v>
      </x:c>
      <x:c r="E3" s="15" t="str">
        <x:v>json / 必填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>
        <x:v>1</x:v>
      </x:c>
      <x:c r="B4" s="16">
        <x:v>1</x:v>
      </x:c>
      <x:c r="C4" s="16">
        <x:v>0</x:v>
      </x:c>
      <x:c r="D4" s="17" t="inlineStr">
        <x:is>
          <x:t xml:space="preserve">{"hp_bonus":0,"attack_min_bonus":0,"attack_max_bonus":0,"defence_min_bonus":0,"defence_max_bonus":0,"magic_defence_min_bonus":0,"magic_defence_max_bonus":0}</x:t>
        </x:is>
      </x:c>
      <x:c r="E4" s="17" t="inlineStr">
        <x:is>
          <x:t xml:space="preserve">{"required_experience":20000}</x:t>
        </x:is>
      </x:c>
      <x:c r="F4" s="17" t="inlineStr">
        <x:is>
          <x:t xml:space="preserve">candidate</x:t>
        </x:is>
      </x:c>
      <x:c r="G4" s="18" t="inlineStr">
        <x:is>
          <x:t xml:space="preserve">本任务rule16开发候选；资料索引/职业宠物补充来源契约.json；Crystal MonsterObject.cs:811–833,3502–3515；PlayerObject.cs:895–899；Shared/Globals.cs:37</x:t>
        </x:is>
      </x:c>
      <x:c r="H4" s="18" t="inlineStr">
        <x:is>
          <x:t xml:space="preserve">属性只保存相对monster基础的增量；阈值只在本表维护，倍率及资格只在PetDefs维护；仅终态7阈值明确null，不从模板Level15推断训练等级。</x:t>
        </x:is>
      </x:c>
    </x:row>
    <x:row r="5" ht="15" hidden="0" customHeight="1">
      <x:c r="A5" s="19">
        <x:v>2</x:v>
      </x:c>
      <x:c r="B5" s="16">
        <x:v>1</x:v>
      </x:c>
      <x:c r="C5" s="16">
        <x:v>1</x:v>
      </x:c>
      <x:c r="D5" s="17" t="inlineStr">
        <x:is>
          <x:t xml:space="preserve">{"hp_bonus":20,"attack_min_bonus":1,"attack_max_bonus":1,"defence_min_bonus":2,"defence_max_bonus":2,"magic_defence_min_bonus":2,"magic_defence_max_bonus":2}</x:t>
        </x:is>
      </x:c>
      <x:c r="E5" s="17" t="inlineStr">
        <x:is>
          <x:t xml:space="preserve">{"required_experience":40000}</x:t>
        </x:is>
      </x:c>
      <x:c r="F5" s="17" t="inlineStr">
        <x:is>
          <x:t xml:space="preserve">candidate</x:t>
        </x:is>
      </x:c>
      <x:c r="G5" s="18" t="inlineStr">
        <x:is>
          <x:t xml:space="preserve">本任务rule16开发候选；资料索引/职业宠物补充来源契约.json；Crystal MonsterObject.cs:811–833,3502–3515；PlayerObject.cs:895–899；Shared/Globals.cs:37</x:t>
        </x:is>
      </x:c>
      <x:c r="H5" s="18" t="inlineStr">
        <x:is>
          <x:t xml:space="preserve">属性只保存相对monster基础的增量；阈值只在本表维护，倍率及资格只在PetDefs维护；仅终态7阈值明确null，不从模板Level15推断训练等级。</x:t>
        </x:is>
      </x:c>
    </x:row>
    <x:row r="6" ht="15" hidden="0" customHeight="1">
      <x:c r="A6" s="19">
        <x:v>3</x:v>
      </x:c>
      <x:c r="B6" s="16">
        <x:v>1</x:v>
      </x:c>
      <x:c r="C6" s="16">
        <x:v>2</x:v>
      </x:c>
      <x:c r="D6" s="17" t="inlineStr">
        <x:is>
          <x:t xml:space="preserve">{"hp_bonus":40,"attack_min_bonus":2,"attack_max_bonus":2,"defence_min_bonus":4,"defence_max_bonus":4,"magic_defence_min_bonus":4,"magic_defence_max_bonus":4}</x:t>
        </x:is>
      </x:c>
      <x:c r="E6" s="17" t="inlineStr">
        <x:is>
          <x:t xml:space="preserve">{"required_experience":60000}</x:t>
        </x:is>
      </x:c>
      <x:c r="F6" s="17" t="inlineStr">
        <x:is>
          <x:t xml:space="preserve">candidate</x:t>
        </x:is>
      </x:c>
      <x:c r="G6" s="18" t="inlineStr">
        <x:is>
          <x:t xml:space="preserve">本任务rule16开发候选；资料索引/职业宠物补充来源契约.json；Crystal MonsterObject.cs:811–833,3502–3515；PlayerObject.cs:895–899；Shared/Globals.cs:37</x:t>
        </x:is>
      </x:c>
      <x:c r="H6" s="18" t="inlineStr">
        <x:is>
          <x:t xml:space="preserve">属性只保存相对monster基础的增量；阈值只在本表维护，倍率及资格只在PetDefs维护；仅终态7阈值明确null，不从模板Level15推断训练等级。</x:t>
        </x:is>
      </x:c>
    </x:row>
    <x:row r="7" ht="15" hidden="0" customHeight="1">
      <x:c r="A7" s="19">
        <x:v>4</x:v>
      </x:c>
      <x:c r="B7" s="16">
        <x:v>1</x:v>
      </x:c>
      <x:c r="C7" s="16">
        <x:v>3</x:v>
      </x:c>
      <x:c r="D7" s="17" t="inlineStr">
        <x:is>
          <x:t xml:space="preserve">{"hp_bonus":60,"attack_min_bonus":3,"attack_max_bonus":3,"defence_min_bonus":6,"defence_max_bonus":6,"magic_defence_min_bonus":6,"magic_defence_max_bonus":6}</x:t>
        </x:is>
      </x:c>
      <x:c r="E7" s="17" t="inlineStr">
        <x:is>
          <x:t xml:space="preserve">{"required_experience":80000}</x:t>
        </x:is>
      </x:c>
      <x:c r="F7" s="17" t="inlineStr">
        <x:is>
          <x:t xml:space="preserve">candidate</x:t>
        </x:is>
      </x:c>
      <x:c r="G7" s="18" t="inlineStr">
        <x:is>
          <x:t xml:space="preserve">本任务rule16开发候选；资料索引/职业宠物补充来源契约.json；Crystal MonsterObject.cs:811–833,3502–3515；PlayerObject.cs:895–899；Shared/Globals.cs:37</x:t>
        </x:is>
      </x:c>
      <x:c r="H7" s="18" t="inlineStr">
        <x:is>
          <x:t xml:space="preserve">属性只保存相对monster基础的增量；阈值只在本表维护，倍率及资格只在PetDefs维护；仅终态7阈值明确null，不从模板Level15推断训练等级。</x:t>
        </x:is>
      </x:c>
    </x:row>
    <x:row r="8" ht="15" hidden="0" customHeight="1">
      <x:c r="A8" s="19">
        <x:v>5</x:v>
      </x:c>
      <x:c r="B8" s="16">
        <x:v>1</x:v>
      </x:c>
      <x:c r="C8" s="16">
        <x:v>4</x:v>
      </x:c>
      <x:c r="D8" s="17" t="inlineStr">
        <x:is>
          <x:t xml:space="preserve">{"hp_bonus":80,"attack_min_bonus":4,"attack_max_bonus":4,"defence_min_bonus":8,"defence_max_bonus":8,"magic_defence_min_bonus":8,"magic_defence_max_bonus":8}</x:t>
        </x:is>
      </x:c>
      <x:c r="E8" s="17" t="inlineStr">
        <x:is>
          <x:t xml:space="preserve">{"required_experience":100000}</x:t>
        </x:is>
      </x:c>
      <x:c r="F8" s="17" t="inlineStr">
        <x:is>
          <x:t xml:space="preserve">candidate</x:t>
        </x:is>
      </x:c>
      <x:c r="G8" s="18" t="inlineStr">
        <x:is>
          <x:t xml:space="preserve">本任务rule16开发候选；资料索引/职业宠物补充来源契约.json；Crystal MonsterObject.cs:811–833,3502–3515；PlayerObject.cs:895–899；Shared/Globals.cs:37</x:t>
        </x:is>
      </x:c>
      <x:c r="H8" s="18" t="inlineStr">
        <x:is>
          <x:t xml:space="preserve">属性只保存相对monster基础的增量；阈值只在本表维护，倍率及资格只在PetDefs维护；仅终态7阈值明确null，不从模板Level15推断训练等级。</x:t>
        </x:is>
      </x:c>
    </x:row>
    <x:row r="9" ht="15" hidden="0" customHeight="1">
      <x:c r="A9" s="19">
        <x:v>6</x:v>
      </x:c>
      <x:c r="B9" s="16">
        <x:v>1</x:v>
      </x:c>
      <x:c r="C9" s="16">
        <x:v>5</x:v>
      </x:c>
      <x:c r="D9" s="17" t="inlineStr">
        <x:is>
          <x:t xml:space="preserve">{"hp_bonus":100,"attack_min_bonus":5,"attack_max_bonus":5,"defence_min_bonus":10,"defence_max_bonus":10,"magic_defence_min_bonus":10,"magic_defence_max_bonus":10}</x:t>
        </x:is>
      </x:c>
      <x:c r="E9" s="17" t="inlineStr">
        <x:is>
          <x:t xml:space="preserve">{"required_experience":120000}</x:t>
        </x:is>
      </x:c>
      <x:c r="F9" s="17" t="inlineStr">
        <x:is>
          <x:t xml:space="preserve">candidate</x:t>
        </x:is>
      </x:c>
      <x:c r="G9" s="18" t="inlineStr">
        <x:is>
          <x:t xml:space="preserve">本任务rule16开发候选；资料索引/职业宠物补充来源契约.json；Crystal MonsterObject.cs:811–833,3502–3515；PlayerObject.cs:895–899；Shared/Globals.cs:37</x:t>
        </x:is>
      </x:c>
      <x:c r="H9" s="18" t="inlineStr">
        <x:is>
          <x:t xml:space="preserve">属性只保存相对monster基础的增量；阈值只在本表维护，倍率及资格只在PetDefs维护；仅终态7阈值明确null，不从模板Level15推断训练等级。</x:t>
        </x:is>
      </x:c>
    </x:row>
    <x:row r="10" ht="15" hidden="0" customHeight="1">
      <x:c r="A10" s="19">
        <x:v>7</x:v>
      </x:c>
      <x:c r="B10" s="16">
        <x:v>1</x:v>
      </x:c>
      <x:c r="C10" s="16">
        <x:v>6</x:v>
      </x:c>
      <x:c r="D10" s="17" t="inlineStr">
        <x:is>
          <x:t xml:space="preserve">{"hp_bonus":120,"attack_min_bonus":6,"attack_max_bonus":6,"defence_min_bonus":12,"defence_max_bonus":12,"magic_defence_min_bonus":12,"magic_defence_max_bonus":12}</x:t>
        </x:is>
      </x:c>
      <x:c r="E10" s="17" t="inlineStr">
        <x:is>
          <x:t xml:space="preserve">{"required_experience":140000}</x:t>
        </x:is>
      </x:c>
      <x:c r="F10" s="17" t="inlineStr">
        <x:is>
          <x:t xml:space="preserve">candidate</x:t>
        </x:is>
      </x:c>
      <x:c r="G10" s="18" t="inlineStr">
        <x:is>
          <x:t xml:space="preserve">本任务rule16开发候选；资料索引/职业宠物补充来源契约.json；Crystal MonsterObject.cs:811–833,3502–3515；PlayerObject.cs:895–899；Shared/Globals.cs:37</x:t>
        </x:is>
      </x:c>
      <x:c r="H10" s="18" t="inlineStr">
        <x:is>
          <x:t xml:space="preserve">属性只保存相对monster基础的增量；阈值只在本表维护，倍率及资格只在PetDefs维护；仅终态7阈值明确null，不从模板Level15推断训练等级。</x:t>
        </x:is>
      </x:c>
    </x:row>
    <x:row r="11" ht="15" hidden="0" customHeight="1">
      <x:c r="A11" s="19">
        <x:v>8</x:v>
      </x:c>
      <x:c r="B11" s="16">
        <x:v>1</x:v>
      </x:c>
      <x:c r="C11" s="16">
        <x:v>7</x:v>
      </x:c>
      <x:c r="D11" s="17" t="inlineStr">
        <x:is>
          <x:t xml:space="preserve">{"hp_bonus":140,"attack_min_bonus":7,"attack_max_bonus":7,"defence_min_bonus":14,"defence_max_bonus":14,"magic_defence_min_bonus":14,"magic_defence_max_bonus":14}</x:t>
        </x:is>
      </x:c>
      <x:c r="E11" s="17" t="inlineStr">
        <x:is>
          <x:t xml:space="preserve">{"required_experience":null}</x:t>
        </x:is>
      </x:c>
      <x:c r="F11" s="17" t="inlineStr">
        <x:is>
          <x:t xml:space="preserve">candidate</x:t>
        </x:is>
      </x:c>
      <x:c r="G11" s="18" t="inlineStr">
        <x:is>
          <x:t xml:space="preserve">本任务rule16开发候选；资料索引/职业宠物补充来源契约.json；Crystal MonsterObject.cs:811–833,3502–3515；PlayerObject.cs:895–899；Shared/Globals.cs:37</x:t>
        </x:is>
      </x:c>
      <x:c r="H11" s="18" t="inlineStr">
        <x:is>
          <x:t xml:space="preserve">属性只保存相对monster基础的增量；阈值只在本表维护，倍率及资格只在PetDefs维护；仅终态7阈值明确null，不从模板Level15推断训练等级。</x:t>
        </x:is>
      </x:c>
    </x:row>
  </x:sheetData>
  <x:conditionalFormatting sqref="A4:A1003">
    <x:cfRule type="expression" dxfId="560" priority="1">
      <x:formula>AND($A4&lt;&gt;"",ISBLANK(A4))</x:formula>
    </x:cfRule>
  </x:conditionalFormatting>
  <x:conditionalFormatting sqref="B4:B1003">
    <x:cfRule type="expression" dxfId="561" priority="2">
      <x:formula>AND($A4&lt;&gt;"",ISBLANK(B4))</x:formula>
    </x:cfRule>
  </x:conditionalFormatting>
  <x:conditionalFormatting sqref="C4:C1003">
    <x:cfRule type="expression" dxfId="562" priority="3">
      <x:formula>AND($A4&lt;&gt;"",ISBLANK(C4))</x:formula>
    </x:cfRule>
  </x:conditionalFormatting>
  <x:conditionalFormatting sqref="D4:D1003">
    <x:cfRule type="expression" dxfId="563" priority="4">
      <x:formula>AND($A4&lt;&gt;"",ISBLANK(D4))</x:formula>
    </x:cfRule>
  </x:conditionalFormatting>
  <x:conditionalFormatting sqref="E4:E1003">
    <x:cfRule type="expression" dxfId="564" priority="5">
      <x:formula>AND($A4&lt;&gt;"",ISBLANK(E4))</x:formula>
    </x:cfRule>
  </x:conditionalFormatting>
  <x:conditionalFormatting sqref="F4:F1003">
    <x:cfRule type="containsText" dxfId="565" priority="6" operator="containsText" text="candidate"/>
    <x:cfRule type="containsText" dxfId="566" priority="7" operator="containsText" text="unverified"/>
    <x:cfRule type="containsText" dxfId="567" priority="8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1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当前等级</x:v>
      </x:c>
      <x:c r="C1" s="7" t="str">
        <x:v>升下级经验</x:v>
      </x:c>
      <x:c r="D1" s="7" t="str">
        <x:v>目标会话与长期节奏</x:v>
      </x:c>
      <x:c r="E1" s="7" t="str">
        <x:v>三职业战斗样本版本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level</x:v>
      </x:c>
      <x:c r="C2" s="12" t="str">
        <x:v>next_level_exp</x:v>
      </x:c>
      <x:c r="D2" s="12" t="str">
        <x:v>growth_target</x:v>
      </x:c>
      <x:c r="E2" s="12" t="str">
        <x:v>measurement_version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string / 可空 / both</x:v>
      </x:c>
      <x:c r="E3" s="15" t="str">
        <x:v>string / 必填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26.399999618530273" hidden="0" customHeight="1">
      <x:c r="A4" s="19" t="n">
        <x:v>1</x:v>
      </x:c>
      <x:c r="B4" s="16" t="n">
        <x:v>1</x:v>
      </x:c>
      <x:c r="C4" s="16" t="n">
        <x:v>10</x:v>
      </x:c>
      <x:c r="D4" s="17" t="str">
        <x:v>development_candidate_only</x:v>
      </x:c>
      <x:c r="E4" s="17" t="str">
        <x:v>myf_source_unbalanced</x:v>
      </x:c>
      <x:c r="F4" s="17" t="str">
        <x:v>candidate</x:v>
      </x:c>
      <x:c r="G4" s="18" t="str">
        <x:v>../MirServer沉默世界_MYF/Mir200/Exps.ini:4</x:v>
      </x:c>
      <x:c r="H4" s="18" t="str">
        <x:v>仅显式development配置使用的跨来源候选；未通过目标1.80行为/数值/真机验收，不进入正式发布。</x:v>
      </x:c>
    </x:row>
    <x:row r="5" ht="26.399999618530273" hidden="0" customHeight="1">
      <x:c r="A5" s="19" t="n">
        <x:v>2</x:v>
      </x:c>
      <x:c r="B5" s="16" t="n">
        <x:v>2</x:v>
      </x:c>
      <x:c r="C5" s="16" t="n">
        <x:v>20</x:v>
      </x:c>
      <x:c r="D5" s="17" t="str">
        <x:v>development_candidate_only</x:v>
      </x:c>
      <x:c r="E5" s="17" t="str">
        <x:v>myf_source_unbalanced</x:v>
      </x:c>
      <x:c r="F5" s="17" t="str">
        <x:v>candidate</x:v>
      </x:c>
      <x:c r="G5" s="18" t="str">
        <x:v>../MirServer沉默世界_MYF/Mir200/Exps.ini:5</x:v>
      </x:c>
      <x:c r="H5" s="18" t="str">
        <x:v>仅显式development配置使用的跨来源候选；未通过目标1.80行为/数值/真机验收，不进入正式发布。</x:v>
      </x:c>
    </x:row>
    <x:row r="6" ht="26.399999618530273" hidden="0" customHeight="1">
      <x:c r="A6" s="19" t="n">
        <x:v>3</x:v>
      </x:c>
      <x:c r="B6" s="16" t="n">
        <x:v>3</x:v>
      </x:c>
      <x:c r="C6" s="16" t="n">
        <x:v>30</x:v>
      </x:c>
      <x:c r="D6" s="17" t="str">
        <x:v>development_candidate_only</x:v>
      </x:c>
      <x:c r="E6" s="17" t="str">
        <x:v>myf_source_unbalanced</x:v>
      </x:c>
      <x:c r="F6" s="17" t="str">
        <x:v>candidate</x:v>
      </x:c>
      <x:c r="G6" s="18" t="str">
        <x:v>../MirServer沉默世界_MYF/Mir200/Exps.ini:6</x:v>
      </x:c>
      <x:c r="H6" s="18" t="str">
        <x:v>仅显式development配置使用的跨来源候选；未通过目标1.80行为/数值/真机验收，不进入正式发布。</x:v>
      </x:c>
    </x:row>
    <x:row r="7" ht="26.399999618530273" hidden="0" customHeight="1">
      <x:c r="A7" s="19" t="n">
        <x:v>4</x:v>
      </x:c>
      <x:c r="B7" s="16" t="n">
        <x:v>4</x:v>
      </x:c>
      <x:c r="C7" s="16" t="n">
        <x:v>40</x:v>
      </x:c>
      <x:c r="D7" s="17" t="str">
        <x:v>development_candidate_only</x:v>
      </x:c>
      <x:c r="E7" s="17" t="str">
        <x:v>myf_source_unbalanced</x:v>
      </x:c>
      <x:c r="F7" s="17" t="str">
        <x:v>candidate</x:v>
      </x:c>
      <x:c r="G7" s="18" t="str">
        <x:v>../MirServer沉默世界_MYF/Mir200/Exps.ini:7</x:v>
      </x:c>
      <x:c r="H7" s="18" t="str">
        <x:v>仅显式development配置使用的跨来源候选；未通过目标1.80行为/数值/真机验收，不进入正式发布。</x:v>
      </x:c>
    </x:row>
    <x:row r="8" ht="26.399999618530273" hidden="0" customHeight="1">
      <x:c r="A8" s="19" t="n">
        <x:v>5</x:v>
      </x:c>
      <x:c r="B8" s="16" t="n">
        <x:v>5</x:v>
      </x:c>
      <x:c r="C8" s="16" t="n">
        <x:v>50</x:v>
      </x:c>
      <x:c r="D8" s="17" t="str">
        <x:v>development_candidate_only</x:v>
      </x:c>
      <x:c r="E8" s="17" t="str">
        <x:v>myf_source_unbalanced</x:v>
      </x:c>
      <x:c r="F8" s="17" t="str">
        <x:v>candidate</x:v>
      </x:c>
      <x:c r="G8" s="18" t="str">
        <x:v>../MirServer沉默世界_MYF/Mir200/Exps.ini:8</x:v>
      </x:c>
      <x:c r="H8" s="18" t="str">
        <x:v>仅显式development配置使用的跨来源候选；未通过目标1.80行为/数值/真机验收，不进入正式发布。</x:v>
      </x:c>
    </x:row>
    <x:row r="9" ht="26.399999618530273" hidden="0" customHeight="1">
      <x:c r="A9" s="19" t="n">
        <x:v>6</x:v>
      </x:c>
      <x:c r="B9" s="16" t="n">
        <x:v>6</x:v>
      </x:c>
      <x:c r="C9" s="16" t="n">
        <x:v>60</x:v>
      </x:c>
      <x:c r="D9" s="17" t="str">
        <x:v>development_candidate_only</x:v>
      </x:c>
      <x:c r="E9" s="17" t="str">
        <x:v>myf_source_unbalanced</x:v>
      </x:c>
      <x:c r="F9" s="17" t="str">
        <x:v>candidate</x:v>
      </x:c>
      <x:c r="G9" s="18" t="str">
        <x:v>../MirServer沉默世界_MYF/Mir200/Exps.ini:9</x:v>
      </x:c>
      <x:c r="H9" s="18" t="str">
        <x:v>仅显式development配置使用的跨来源候选；未通过目标1.80行为/数值/真机验收，不进入正式发布。</x:v>
      </x:c>
    </x:row>
    <x:row r="10" ht="26.399999618530273" hidden="0" customHeight="1">
      <x:c r="A10" s="19" t="n">
        <x:v>7</x:v>
      </x:c>
      <x:c r="B10" s="16" t="n">
        <x:v>7</x:v>
      </x:c>
      <x:c r="C10" s="16" t="n">
        <x:v>70</x:v>
      </x:c>
      <x:c r="D10" s="17" t="str">
        <x:v>development_candidate_only</x:v>
      </x:c>
      <x:c r="E10" s="17" t="str">
        <x:v>myf_source_unbalanced</x:v>
      </x:c>
      <x:c r="F10" s="17" t="str">
        <x:v>candidate</x:v>
      </x:c>
      <x:c r="G10" s="18" t="str">
        <x:v>../MirServer沉默世界_MYF/Mir200/Exps.ini:10</x:v>
      </x:c>
      <x:c r="H10" s="18" t="str">
        <x:v>仅显式development配置使用的跨来源候选；未通过目标1.80行为/数值/真机验收，不进入正式发布。</x:v>
      </x:c>
    </x:row>
    <x:row r="11" ht="26.399999618530273" hidden="0" customHeight="1">
      <x:c r="A11" s="19" t="n">
        <x:v>8</x:v>
      </x:c>
      <x:c r="B11" s="16" t="n">
        <x:v>8</x:v>
      </x:c>
      <x:c r="C11" s="16" t="n">
        <x:v>80</x:v>
      </x:c>
      <x:c r="D11" s="17" t="str">
        <x:v>development_candidate_only</x:v>
      </x:c>
      <x:c r="E11" s="17" t="str">
        <x:v>myf_source_unbalanced</x:v>
      </x:c>
      <x:c r="F11" s="17" t="str">
        <x:v>candidate</x:v>
      </x:c>
      <x:c r="G11" s="18" t="str">
        <x:v>../MirServer沉默世界_MYF/Mir200/Exps.ini:11</x:v>
      </x:c>
      <x:c r="H11" s="18" t="str">
        <x:v>仅显式development配置使用的跨来源候选；未通过目标1.80行为/数值/真机验收，不进入正式发布。</x:v>
      </x:c>
    </x:row>
    <x:row r="12" ht="26.399999618530273" hidden="0" customHeight="1">
      <x:c r="A12" s="19" t="n">
        <x:v>9</x:v>
      </x:c>
      <x:c r="B12" s="16" t="n">
        <x:v>9</x:v>
      </x:c>
      <x:c r="C12" s="16" t="n">
        <x:v>90</x:v>
      </x:c>
      <x:c r="D12" s="17" t="str">
        <x:v>development_candidate_only</x:v>
      </x:c>
      <x:c r="E12" s="17" t="str">
        <x:v>myf_source_unbalanced</x:v>
      </x:c>
      <x:c r="F12" s="17" t="str">
        <x:v>candidate</x:v>
      </x:c>
      <x:c r="G12" s="18" t="str">
        <x:v>../MirServer沉默世界_MYF/Mir200/Exps.ini:12</x:v>
      </x:c>
      <x:c r="H12" s="18" t="str">
        <x:v>仅显式development配置使用的跨来源候选；未通过目标1.80行为/数值/真机验收，不进入正式发布。</x:v>
      </x:c>
    </x:row>
    <x:row r="13" ht="26.399999618530273" hidden="0" customHeight="1">
      <x:c r="A13" s="19" t="n">
        <x:v>10</x:v>
      </x:c>
      <x:c r="B13" s="16" t="n">
        <x:v>10</x:v>
      </x:c>
      <x:c r="C13" s="16" t="n">
        <x:v>100</x:v>
      </x:c>
      <x:c r="D13" s="17" t="str">
        <x:v>development_candidate_only</x:v>
      </x:c>
      <x:c r="E13" s="17" t="str">
        <x:v>myf_source_unbalanced</x:v>
      </x:c>
      <x:c r="F13" s="17" t="str">
        <x:v>candidate</x:v>
      </x:c>
      <x:c r="G13" s="18" t="str">
        <x:v>../MirServer沉默世界_MYF/Mir200/Exps.ini:13</x:v>
      </x:c>
      <x:c r="H13" s="18" t="str">
        <x:v>仅显式development配置使用的跨来源候选；未通过目标1.80行为/数值/真机验收，不进入正式发布。</x:v>
      </x:c>
    </x:row>
    <x:row r="14" ht="26.399999618530273" hidden="0" customHeight="1">
      <x:c r="A14" s="19" t="n">
        <x:v>11</x:v>
      </x:c>
      <x:c r="B14" s="16" t="n">
        <x:v>11</x:v>
      </x:c>
      <x:c r="C14" s="16" t="n">
        <x:v>200</x:v>
      </x:c>
      <x:c r="D14" s="17" t="str">
        <x:v>development_candidate_only</x:v>
      </x:c>
      <x:c r="E14" s="17" t="str">
        <x:v>myf_source_unbalanced</x:v>
      </x:c>
      <x:c r="F14" s="17" t="str">
        <x:v>candidate</x:v>
      </x:c>
      <x:c r="G14" s="18" t="str">
        <x:v>../MirServer沉默世界_MYF/Mir200/Exps.ini:14</x:v>
      </x:c>
      <x:c r="H14" s="18" t="str">
        <x:v>仅显式development配置使用的跨来源候选；未通过目标1.80行为/数值/真机验收，不进入正式发布。</x:v>
      </x:c>
    </x:row>
    <x:row r="15" ht="26.399999618530273" hidden="0" customHeight="1">
      <x:c r="A15" s="19" t="n">
        <x:v>12</x:v>
      </x:c>
      <x:c r="B15" s="16" t="n">
        <x:v>12</x:v>
      </x:c>
      <x:c r="C15" s="16" t="n">
        <x:v>300</x:v>
      </x:c>
      <x:c r="D15" s="17" t="str">
        <x:v>development_candidate_only</x:v>
      </x:c>
      <x:c r="E15" s="17" t="str">
        <x:v>myf_source_unbalanced</x:v>
      </x:c>
      <x:c r="F15" s="17" t="str">
        <x:v>candidate</x:v>
      </x:c>
      <x:c r="G15" s="18" t="str">
        <x:v>../MirServer沉默世界_MYF/Mir200/Exps.ini:15</x:v>
      </x:c>
      <x:c r="H15" s="18" t="str">
        <x:v>仅显式development配置使用的跨来源候选；未通过目标1.80行为/数值/真机验收，不进入正式发布。</x:v>
      </x:c>
    </x:row>
    <x:row r="16" ht="26.399999618530273" hidden="0" customHeight="1">
      <x:c r="A16" s="19" t="n">
        <x:v>13</x:v>
      </x:c>
      <x:c r="B16" s="16" t="n">
        <x:v>13</x:v>
      </x:c>
      <x:c r="C16" s="16" t="n">
        <x:v>400</x:v>
      </x:c>
      <x:c r="D16" s="17" t="str">
        <x:v>development_candidate_only</x:v>
      </x:c>
      <x:c r="E16" s="17" t="str">
        <x:v>myf_source_unbalanced</x:v>
      </x:c>
      <x:c r="F16" s="17" t="str">
        <x:v>candidate</x:v>
      </x:c>
      <x:c r="G16" s="18" t="str">
        <x:v>../MirServer沉默世界_MYF/Mir200/Exps.ini:16</x:v>
      </x:c>
      <x:c r="H16" s="18" t="str">
        <x:v>仅显式development配置使用的跨来源候选；未通过目标1.80行为/数值/真机验收，不进入正式发布。</x:v>
      </x:c>
    </x:row>
    <x:row r="17" ht="26.399999618530273" hidden="0" customHeight="1">
      <x:c r="A17" s="19" t="n">
        <x:v>14</x:v>
      </x:c>
      <x:c r="B17" s="16" t="n">
        <x:v>14</x:v>
      </x:c>
      <x:c r="C17" s="16" t="n">
        <x:v>500</x:v>
      </x:c>
      <x:c r="D17" s="17" t="str">
        <x:v>development_candidate_only</x:v>
      </x:c>
      <x:c r="E17" s="17" t="str">
        <x:v>myf_source_unbalanced</x:v>
      </x:c>
      <x:c r="F17" s="17" t="str">
        <x:v>candidate</x:v>
      </x:c>
      <x:c r="G17" s="18" t="str">
        <x:v>../MirServer沉默世界_MYF/Mir200/Exps.ini:17</x:v>
      </x:c>
      <x:c r="H17" s="18" t="str">
        <x:v>仅显式development配置使用的跨来源候选；未通过目标1.80行为/数值/真机验收，不进入正式发布。</x:v>
      </x:c>
    </x:row>
    <x:row r="18" ht="26.399999618530273" hidden="0" customHeight="1">
      <x:c r="A18" s="19" t="n">
        <x:v>15</x:v>
      </x:c>
      <x:c r="B18" s="16" t="n">
        <x:v>15</x:v>
      </x:c>
      <x:c r="C18" s="16" t="n">
        <x:v>600</x:v>
      </x:c>
      <x:c r="D18" s="17" t="str">
        <x:v>development_candidate_only</x:v>
      </x:c>
      <x:c r="E18" s="17" t="str">
        <x:v>myf_source_unbalanced</x:v>
      </x:c>
      <x:c r="F18" s="17" t="str">
        <x:v>candidate</x:v>
      </x:c>
      <x:c r="G18" s="18" t="str">
        <x:v>../MirServer沉默世界_MYF/Mir200/Exps.ini:18</x:v>
      </x:c>
      <x:c r="H18" s="18" t="str">
        <x:v>仅显式development配置使用的跨来源候选；未通过目标1.80行为/数值/真机验收，不进入正式发布。</x:v>
      </x:c>
    </x:row>
    <x:row r="19" ht="26.399999618530273" hidden="0" customHeight="1">
      <x:c r="A19" s="19" t="n">
        <x:v>16</x:v>
      </x:c>
      <x:c r="B19" s="16" t="n">
        <x:v>16</x:v>
      </x:c>
      <x:c r="C19" s="16" t="n">
        <x:v>700</x:v>
      </x:c>
      <x:c r="D19" s="17" t="str">
        <x:v>development_candidate_only</x:v>
      </x:c>
      <x:c r="E19" s="17" t="str">
        <x:v>myf_source_unbalanced</x:v>
      </x:c>
      <x:c r="F19" s="17" t="str">
        <x:v>candidate</x:v>
      </x:c>
      <x:c r="G19" s="18" t="str">
        <x:v>../MirServer沉默世界_MYF/Mir200/Exps.ini:19</x:v>
      </x:c>
      <x:c r="H19" s="18" t="str">
        <x:v>仅显式development配置使用的跨来源候选；未通过目标1.80行为/数值/真机验收，不进入正式发布。</x:v>
      </x:c>
    </x:row>
    <x:row r="20" ht="26.399999618530273" hidden="0" customHeight="1">
      <x:c r="A20" s="19" t="n">
        <x:v>17</x:v>
      </x:c>
      <x:c r="B20" s="16" t="n">
        <x:v>17</x:v>
      </x:c>
      <x:c r="C20" s="16" t="n">
        <x:v>800</x:v>
      </x:c>
      <x:c r="D20" s="17" t="str">
        <x:v>development_candidate_only</x:v>
      </x:c>
      <x:c r="E20" s="17" t="str">
        <x:v>myf_source_unbalanced</x:v>
      </x:c>
      <x:c r="F20" s="17" t="str">
        <x:v>candidate</x:v>
      </x:c>
      <x:c r="G20" s="18" t="str">
        <x:v>../MirServer沉默世界_MYF/Mir200/Exps.ini:20</x:v>
      </x:c>
      <x:c r="H20" s="18" t="str">
        <x:v>仅显式development配置使用的跨来源候选；未通过目标1.80行为/数值/真机验收，不进入正式发布。</x:v>
      </x:c>
    </x:row>
    <x:row r="21" ht="26.399999618530273" hidden="0" customHeight="1">
      <x:c r="A21" s="19" t="n">
        <x:v>18</x:v>
      </x:c>
      <x:c r="B21" s="16" t="n">
        <x:v>18</x:v>
      </x:c>
      <x:c r="C21" s="16" t="n">
        <x:v>900</x:v>
      </x:c>
      <x:c r="D21" s="17" t="str">
        <x:v>development_candidate_only</x:v>
      </x:c>
      <x:c r="E21" s="17" t="str">
        <x:v>myf_source_unbalanced</x:v>
      </x:c>
      <x:c r="F21" s="17" t="str">
        <x:v>candidate</x:v>
      </x:c>
      <x:c r="G21" s="18" t="str">
        <x:v>../MirServer沉默世界_MYF/Mir200/Exps.ini:21</x:v>
      </x:c>
      <x:c r="H21" s="18" t="str">
        <x:v>仅显式development配置使用的跨来源候选；未通过目标1.80行为/数值/真机验收，不进入正式发布。</x:v>
      </x:c>
    </x:row>
    <x:row r="22" ht="26.399999618530273" hidden="0" customHeight="1">
      <x:c r="A22" s="19" t="n">
        <x:v>19</x:v>
      </x:c>
      <x:c r="B22" s="16" t="n">
        <x:v>19</x:v>
      </x:c>
      <x:c r="C22" s="16" t="n">
        <x:v>1000</x:v>
      </x:c>
      <x:c r="D22" s="17" t="str">
        <x:v>development_candidate_only</x:v>
      </x:c>
      <x:c r="E22" s="17" t="str">
        <x:v>myf_source_unbalanced</x:v>
      </x:c>
      <x:c r="F22" s="17" t="str">
        <x:v>candidate</x:v>
      </x:c>
      <x:c r="G22" s="18" t="str">
        <x:v>../MirServer沉默世界_MYF/Mir200/Exps.ini:22</x:v>
      </x:c>
      <x:c r="H22" s="18" t="str">
        <x:v>仅显式development配置使用的跨来源候选；未通过目标1.80行为/数值/真机验收，不进入正式发布。</x:v>
      </x:c>
    </x:row>
    <x:row r="23" ht="26.399999618530273" hidden="0" customHeight="1">
      <x:c r="A23" s="19" t="n">
        <x:v>20</x:v>
      </x:c>
      <x:c r="B23" s="16" t="n">
        <x:v>20</x:v>
      </x:c>
      <x:c r="C23" s="16" t="n">
        <x:v>1000</x:v>
      </x:c>
      <x:c r="D23" s="17" t="str">
        <x:v>development_candidate_only</x:v>
      </x:c>
      <x:c r="E23" s="17" t="str">
        <x:v>myf_source_unbalanced</x:v>
      </x:c>
      <x:c r="F23" s="17" t="str">
        <x:v>candidate</x:v>
      </x:c>
      <x:c r="G23" s="18" t="str">
        <x:v>../MirServer沉默世界_MYF/Mir200/Exps.ini:23</x:v>
      </x:c>
      <x:c r="H23" s="18" t="str">
        <x:v>仅显式development配置使用的跨来源候选；未通过目标1.80行为/数值/真机验收，不进入正式发布。</x:v>
      </x:c>
    </x:row>
  </x:sheetData>
  <x:conditionalFormatting sqref="A4:A1003">
    <x:cfRule type="expression" dxfId="568" priority="1">
      <x:formula>AND($A4&lt;&gt;"",ISBLANK(A4))</x:formula>
    </x:cfRule>
  </x:conditionalFormatting>
  <x:conditionalFormatting sqref="B4:B1003">
    <x:cfRule type="expression" dxfId="569" priority="2">
      <x:formula>AND($A4&lt;&gt;"",ISBLANK(B4))</x:formula>
    </x:cfRule>
  </x:conditionalFormatting>
  <x:conditionalFormatting sqref="C4:C1003">
    <x:cfRule type="expression" dxfId="570" priority="3">
      <x:formula>AND($A4&lt;&gt;"",ISBLANK(C4))</x:formula>
    </x:cfRule>
  </x:conditionalFormatting>
  <x:conditionalFormatting sqref="E4:E1003">
    <x:cfRule type="expression" dxfId="571" priority="4">
      <x:formula>AND($A4&lt;&gt;"",ISBLANK(E4))</x:formula>
    </x:cfRule>
  </x:conditionalFormatting>
  <x:conditionalFormatting sqref="F4:F1003">
    <x:cfRule type="containsText" dxfId="572" priority="5" operator="containsText" text="candidate"/>
    <x:cfRule type="containsText" dxfId="573" priority="6" operator="containsText" text="unverified"/>
    <x:cfRule type="containsText" dxfId="574" priority="7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54" hidden="0" customWidth="1"/>
    <x:col min="8" max="8" width="54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第几次转生</x:v>
      </x:c>
      <x:c r="C1" s="7" t="str">
        <x:v>当前门槛</x:v>
      </x:c>
      <x:c r="D1" s="7" t="str">
        <x:v>新等级上限</x:v>
      </x:c>
      <x:c r="E1" s="7" t="str">
        <x:v>挑战凭证</x:v>
      </x:c>
      <x:c r="F1" s="7" t="str">
        <x:v>金币费用</x:v>
      </x:c>
      <x:c r="G1" s="7" t="str">
        <x:v>绑定材料费用</x:v>
      </x:c>
      <x:c r="H1" s="7" t="str">
        <x:v>绑元加速上限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rebirth_index</x:v>
      </x:c>
      <x:c r="C2" s="12" t="str">
        <x:v>required_level</x:v>
      </x:c>
      <x:c r="D2" s="12" t="str">
        <x:v>next_level_cap</x:v>
      </x:c>
      <x:c r="E2" s="12" t="str">
        <x:v>challenge_token_id</x:v>
      </x:c>
      <x:c r="F2" s="12" t="str">
        <x:v>gold_cost</x:v>
      </x:c>
      <x:c r="G2" s="12" t="str">
        <x:v>bound_material_costs</x:v>
      </x:c>
      <x:c r="H2" s="12" t="str">
        <x:v>bound_ingot_acceleration_cap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int / 必填 / both</x:v>
      </x:c>
      <x:c r="G3" s="15" t="str">
        <x:v>json / 必填 / both</x:v>
      </x:c>
      <x:c r="H3" s="15" t="str">
        <x:v>json / 必填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/>
      <x:c r="B4" s="16"/>
      <x:c r="C4" s="16"/>
      <x:c r="D4" s="16"/>
      <x:c r="E4" s="16"/>
      <x:c r="F4" s="16"/>
      <x:c r="G4" s="17"/>
      <x:c r="H4" s="17"/>
      <x:c r="I4" s="17"/>
      <x:c r="J4" s="18"/>
      <x:c r="K4" s="18"/>
    </x:row>
    <x:row r="5" ht="15" hidden="0" customHeight="1">
      <x:c r="A5" s="19"/>
      <x:c r="B5" s="16"/>
      <x:c r="C5" s="16"/>
      <x:c r="D5" s="16"/>
      <x:c r="E5" s="16"/>
      <x:c r="F5" s="16"/>
      <x:c r="G5" s="17"/>
      <x:c r="H5" s="17"/>
      <x:c r="I5" s="17"/>
      <x:c r="J5" s="18"/>
      <x:c r="K5" s="18"/>
    </x:row>
    <x:row r="6" ht="15" hidden="0" customHeight="1">
      <x:c r="A6" s="19"/>
      <x:c r="B6" s="16"/>
      <x:c r="C6" s="16"/>
      <x:c r="D6" s="16"/>
      <x:c r="E6" s="16"/>
      <x:c r="F6" s="16"/>
      <x:c r="G6" s="17"/>
      <x:c r="H6" s="17"/>
      <x:c r="I6" s="17"/>
      <x:c r="J6" s="18"/>
      <x:c r="K6" s="18"/>
    </x:row>
    <x:row r="7" ht="15" hidden="0" customHeight="1">
      <x:c r="A7" s="19"/>
      <x:c r="B7" s="16"/>
      <x:c r="C7" s="16"/>
      <x:c r="D7" s="16"/>
      <x:c r="E7" s="16"/>
      <x:c r="F7" s="16"/>
      <x:c r="G7" s="17"/>
      <x:c r="H7" s="17"/>
      <x:c r="I7" s="17"/>
      <x:c r="J7" s="18"/>
      <x:c r="K7" s="18"/>
    </x:row>
    <x:row r="8" ht="15" hidden="0" customHeight="1">
      <x:c r="A8" s="19"/>
      <x:c r="B8" s="16"/>
      <x:c r="C8" s="16"/>
      <x:c r="D8" s="16"/>
      <x:c r="E8" s="16"/>
      <x:c r="F8" s="16"/>
      <x:c r="G8" s="17"/>
      <x:c r="H8" s="17"/>
      <x:c r="I8" s="17"/>
      <x:c r="J8" s="18"/>
      <x:c r="K8" s="18"/>
    </x:row>
    <x:row r="9" ht="15" hidden="0" customHeight="1">
      <x:c r="A9" s="19"/>
      <x:c r="B9" s="16"/>
      <x:c r="C9" s="16"/>
      <x:c r="D9" s="16"/>
      <x:c r="E9" s="16"/>
      <x:c r="F9" s="16"/>
      <x:c r="G9" s="17"/>
      <x:c r="H9" s="17"/>
      <x:c r="I9" s="17"/>
      <x:c r="J9" s="18"/>
      <x:c r="K9" s="18"/>
    </x:row>
  </x:sheetData>
  <x:conditionalFormatting sqref="A4:A1003">
    <x:cfRule type="expression" dxfId="575" priority="1">
      <x:formula>AND($A4&lt;&gt;"",ISBLANK(A4))</x:formula>
    </x:cfRule>
  </x:conditionalFormatting>
  <x:conditionalFormatting sqref="B4:B1003">
    <x:cfRule type="expression" dxfId="576" priority="2">
      <x:formula>AND($A4&lt;&gt;"",ISBLANK(B4))</x:formula>
    </x:cfRule>
  </x:conditionalFormatting>
  <x:conditionalFormatting sqref="C4:C1003">
    <x:cfRule type="expression" dxfId="577" priority="3">
      <x:formula>AND($A4&lt;&gt;"",ISBLANK(C4))</x:formula>
    </x:cfRule>
  </x:conditionalFormatting>
  <x:conditionalFormatting sqref="D4:D1003">
    <x:cfRule type="expression" dxfId="578" priority="4">
      <x:formula>AND($A4&lt;&gt;"",ISBLANK(D4))</x:formula>
    </x:cfRule>
  </x:conditionalFormatting>
  <x:conditionalFormatting sqref="E4:E1003">
    <x:cfRule type="expression" dxfId="579" priority="5">
      <x:formula>AND($A4&lt;&gt;"",ISBLANK(E4))</x:formula>
    </x:cfRule>
  </x:conditionalFormatting>
  <x:conditionalFormatting sqref="F4:F1003">
    <x:cfRule type="expression" dxfId="580" priority="6">
      <x:formula>AND($A4&lt;&gt;"",ISBLANK(F4))</x:formula>
    </x:cfRule>
  </x:conditionalFormatting>
  <x:conditionalFormatting sqref="G4:G1003">
    <x:cfRule type="expression" dxfId="581" priority="7">
      <x:formula>AND($A4&lt;&gt;"",ISBLANK(G4))</x:formula>
    </x:cfRule>
  </x:conditionalFormatting>
  <x:conditionalFormatting sqref="H4:H1003">
    <x:cfRule type="expression" dxfId="582" priority="8">
      <x:formula>AND($A4&lt;&gt;"",ISBLANK(H4))</x:formula>
    </x:cfRule>
  </x:conditionalFormatting>
  <x:conditionalFormatting sqref="I4:I1003">
    <x:cfRule type="containsText" dxfId="583" priority="9" operator="containsText" text="candidate"/>
    <x:cfRule type="containsText" dxfId="584" priority="10" operator="containsText" text="unverified"/>
    <x:cfRule type="containsText" dxfId="585" priority="11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54" hidden="0" customWidth="1"/>
    <x:col min="7" max="7" width="54" hidden="0" customWidth="1"/>
    <x:col min="8" max="8" width="20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掉落池键</x:v>
      </x:c>
      <x:c r="C1" s="7" t="str">
        <x:v>来源类型</x:v>
      </x:c>
      <x:c r="D1" s="7" t="str">
        <x:v>互斥主分类</x:v>
      </x:c>
      <x:c r="E1" s="7" t="str">
        <x:v>抽取方式</x:v>
      </x:c>
      <x:c r="F1" s="7" t="str">
        <x:v>装备阶段范围</x:v>
      </x:c>
      <x:c r="G1" s="7" t="str">
        <x:v>品质权重</x:v>
      </x:c>
      <x:c r="H1" s="7" t="str">
        <x:v>随机最高品质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pool_key</x:v>
      </x:c>
      <x:c r="C2" s="12" t="str">
        <x:v>source_kind</x:v>
      </x:c>
      <x:c r="D2" s="12" t="str">
        <x:v>category_key</x:v>
      </x:c>
      <x:c r="E2" s="12" t="str">
        <x:v>selection_mode</x:v>
      </x:c>
      <x:c r="F2" s="12" t="str">
        <x:v>equipment_stage_range</x:v>
      </x:c>
      <x:c r="G2" s="12" t="str">
        <x:v>quality_weights</x:v>
      </x:c>
      <x:c r="H2" s="12" t="str">
        <x:v>max_random_quality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string / 必填 / server</x:v>
      </x:c>
      <x:c r="F3" s="15" t="str">
        <x:v>json / 必填 / both</x:v>
      </x:c>
      <x:c r="G3" s="15" t="str">
        <x:v>json / 必填 / server</x:v>
      </x:c>
      <x:c r="H3" s="15" t="str">
        <x:v>int / 必填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26.399999618530273" hidden="0" customHeight="1">
      <x:c r="A4" s="19" t="n">
        <x:v>1</x:v>
      </x:c>
      <x:c r="B4" s="17" t="str">
        <x:v>dev_equipment_subset</x:v>
      </x:c>
      <x:c r="C4" s="17" t="str">
        <x:v>ordinary_monster</x:v>
      </x:c>
      <x:c r="D4" s="17" t="str">
        <x:v>equipment</x:v>
      </x:c>
      <x:c r="E4" s="17" t="str">
        <x:v>development_equal_subset</x:v>
      </x:c>
      <x:c r="F4" s="17" t="str">
        <x:v>[0,0]</x:v>
      </x:c>
      <x:c r="G4" s="17" t="str">
        <x:v>{"0":1}</x:v>
      </x:c>
      <x:c r="H4" s="16" t="n">
        <x:v>0</x:v>
      </x:c>
      <x:c r="I4" s="17" t="str">
        <x:v>candidate</x:v>
      </x:c>
      <x:c r="J4" s="18" t="str">
        <x:v>最终策划案.md:602-614；../MirServer沉默世界_MYF/Mir200/Envir/MonItems/稻草人.txt</x:v>
      </x:c>
      <x:c r="K4" s="18" t="str">
        <x:v>仅显式development配置使用的跨来源候选；未通过目标1.80行为/数值/真机验收，不进入正式发布。 仅采纳来源条目与金币数量，旧独立掉率废弃；类别后子集等权是开发选择。</x:v>
      </x:c>
    </x:row>
    <x:row r="5" ht="26.399999618530273" hidden="0" customHeight="1">
      <x:c r="A5" s="19" t="n">
        <x:v>2</x:v>
      </x:c>
      <x:c r="B5" s="17" t="str">
        <x:v>dev_potion_subset</x:v>
      </x:c>
      <x:c r="C5" s="17" t="str">
        <x:v>ordinary_monster</x:v>
      </x:c>
      <x:c r="D5" s="17" t="str">
        <x:v>item</x:v>
      </x:c>
      <x:c r="E5" s="17" t="str">
        <x:v>development_equal_subset</x:v>
      </x:c>
      <x:c r="F5" s="17"/>
      <x:c r="G5" s="17"/>
      <x:c r="H5" s="16"/>
      <x:c r="I5" s="17" t="str">
        <x:v>candidate</x:v>
      </x:c>
      <x:c r="J5" s="18" t="str">
        <x:v>最终策划案.md:602-614；../MirServer沉默世界_MYF/Mir200/Envir/MonItems/稻草人.txt</x:v>
      </x:c>
      <x:c r="K5" s="18" t="str">
        <x:v>仅显式development配置使用的跨来源候选；未通过目标1.80行为/数值/真机验收，不进入正式发布。 仅采纳来源条目与金币数量，旧独立掉率废弃；类别后子集等权是开发选择。</x:v>
      </x:c>
    </x:row>
    <x:row r="6" ht="26.399999618530273" hidden="0" customHeight="1">
      <x:c r="A6" s="19" t="n">
        <x:v>3</x:v>
      </x:c>
      <x:c r="B6" s="17" t="str">
        <x:v>dev_gold_subset</x:v>
      </x:c>
      <x:c r="C6" s="17" t="str">
        <x:v>ordinary_monster</x:v>
      </x:c>
      <x:c r="D6" s="17" t="str">
        <x:v>gold</x:v>
      </x:c>
      <x:c r="E6" s="17" t="str">
        <x:v>development_equal_subset</x:v>
      </x:c>
      <x:c r="F6" s="17"/>
      <x:c r="G6" s="17"/>
      <x:c r="H6" s="16"/>
      <x:c r="I6" s="17" t="str">
        <x:v>candidate</x:v>
      </x:c>
      <x:c r="J6" s="18" t="str">
        <x:v>最终策划案.md:602-614；../MirServer沉默世界_MYF/Mir200/Envir/MonItems/稻草人.txt</x:v>
      </x:c>
      <x:c r="K6" s="18" t="str">
        <x:v>仅显式development配置使用的跨来源候选；未通过目标1.80行为/数值/真机验收，不进入正式发布。 仅采纳来源条目与金币数量，旧独立掉率废弃；类别后子集等权是开发选择。</x:v>
      </x:c>
    </x:row>
    <x:row r="7" ht="15" hidden="0" customHeight="1">
      <x:c r="A7" s="19"/>
      <x:c r="B7" s="17"/>
      <x:c r="C7" s="17"/>
      <x:c r="D7" s="17"/>
      <x:c r="E7" s="17"/>
      <x:c r="F7" s="17"/>
      <x:c r="G7" s="17"/>
      <x:c r="H7" s="16"/>
      <x:c r="I7" s="17"/>
      <x:c r="J7" s="18"/>
      <x:c r="K7" s="18"/>
    </x:row>
    <x:row r="8" ht="15" hidden="0" customHeight="1">
      <x:c r="A8" s="19"/>
      <x:c r="B8" s="17"/>
      <x:c r="C8" s="17"/>
      <x:c r="D8" s="17"/>
      <x:c r="E8" s="17"/>
      <x:c r="F8" s="17"/>
      <x:c r="G8" s="17"/>
      <x:c r="H8" s="16"/>
      <x:c r="I8" s="17"/>
      <x:c r="J8" s="18"/>
      <x:c r="K8" s="18"/>
    </x:row>
    <x:row r="9" ht="15" hidden="0" customHeight="1">
      <x:c r="A9" s="19"/>
      <x:c r="B9" s="17"/>
      <x:c r="C9" s="17"/>
      <x:c r="D9" s="17"/>
      <x:c r="E9" s="17"/>
      <x:c r="F9" s="17"/>
      <x:c r="G9" s="17"/>
      <x:c r="H9" s="16"/>
      <x:c r="I9" s="17"/>
      <x:c r="J9" s="18"/>
      <x:c r="K9" s="18"/>
    </x:row>
  </x:sheetData>
  <x:conditionalFormatting sqref="A4:A1003">
    <x:cfRule type="expression" dxfId="586" priority="1">
      <x:formula>AND($A4&lt;&gt;"",ISBLANK(A4))</x:formula>
    </x:cfRule>
  </x:conditionalFormatting>
  <x:conditionalFormatting sqref="B4:B1003">
    <x:cfRule type="expression" dxfId="587" priority="2">
      <x:formula>AND($A4&lt;&gt;"",ISBLANK(B4))</x:formula>
    </x:cfRule>
  </x:conditionalFormatting>
  <x:conditionalFormatting sqref="C4:C1003">
    <x:cfRule type="expression" dxfId="588" priority="3">
      <x:formula>AND($A4&lt;&gt;"",ISBLANK(C4))</x:formula>
    </x:cfRule>
  </x:conditionalFormatting>
  <x:conditionalFormatting sqref="D4:D1003">
    <x:cfRule type="expression" dxfId="589" priority="4">
      <x:formula>AND($A4&lt;&gt;"",ISBLANK(D4))</x:formula>
    </x:cfRule>
  </x:conditionalFormatting>
  <x:conditionalFormatting sqref="E4:E1003">
    <x:cfRule type="expression" dxfId="590" priority="5">
      <x:formula>AND($A4&lt;&gt;"",ISBLANK(E4))</x:formula>
    </x:cfRule>
  </x:conditionalFormatting>
  <x:conditionalFormatting sqref="F4:F1003">
    <x:cfRule type="expression" dxfId="591" priority="6">
      <x:formula>AND($A4&lt;&gt;"",ISBLANK(F4))</x:formula>
    </x:cfRule>
  </x:conditionalFormatting>
  <x:conditionalFormatting sqref="G4:G1003">
    <x:cfRule type="expression" dxfId="592" priority="7">
      <x:formula>AND($A4&lt;&gt;"",ISBLANK(G4))</x:formula>
    </x:cfRule>
  </x:conditionalFormatting>
  <x:conditionalFormatting sqref="H4:H1003">
    <x:cfRule type="expression" dxfId="593" priority="8">
      <x:formula>AND($A4&lt;&gt;"",ISBLANK(H4))</x:formula>
    </x:cfRule>
  </x:conditionalFormatting>
  <x:conditionalFormatting sqref="I4:I1003">
    <x:cfRule type="containsText" dxfId="594" priority="9" operator="containsText" text="candidate"/>
    <x:cfRule type="containsText" dxfId="595" priority="10" operator="containsText" text="unverified"/>
    <x:cfRule type="containsText" dxfId="596" priority="11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池ID</x:v>
      </x:c>
      <x:c r="C1" s="7" t="str">
        <x:v>道具ID</x:v>
      </x:c>
      <x:c r="D1" s="7" t="str">
        <x:v>货币类型</x:v>
      </x:c>
      <x:c r="E1" s="7" t="str">
        <x:v>权重</x:v>
      </x:c>
      <x:c r="F1" s="7" t="str">
        <x:v>最小数量</x:v>
      </x:c>
      <x:c r="G1" s="7" t="str">
        <x:v>最大数量</x:v>
      </x:c>
      <x:c r="H1" s="7" t="str">
        <x:v>绑定来源策略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pool_id</x:v>
      </x:c>
      <x:c r="C2" s="12" t="str">
        <x:v>item_id</x:v>
      </x:c>
      <x:c r="D2" s="12" t="str">
        <x:v>currency_key</x:v>
      </x:c>
      <x:c r="E2" s="12" t="str">
        <x:v>weight</x:v>
      </x:c>
      <x:c r="F2" s="12" t="str">
        <x:v>quantity_min</x:v>
      </x:c>
      <x:c r="G2" s="12" t="str">
        <x:v>quantity_max</x:v>
      </x:c>
      <x:c r="H2" s="12" t="str">
        <x:v>binding_policy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可空 / both</x:v>
      </x:c>
      <x:c r="D3" s="15" t="str">
        <x:v>string / 可空 / both</x:v>
      </x:c>
      <x:c r="E3" s="15" t="str">
        <x:v>int / 必填 / server</x:v>
      </x:c>
      <x:c r="F3" s="15" t="str">
        <x:v>int / 必填 / server</x:v>
      </x:c>
      <x:c r="G3" s="15" t="str">
        <x:v>int / 必填 / server</x:v>
      </x:c>
      <x:c r="H3" s="15" t="str">
        <x:v>string / 必填 / server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26.399999618530273" hidden="0" customHeight="1">
      <x:c r="A4" s="19" t="n">
        <x:v>1</x:v>
      </x:c>
      <x:c r="B4" s="16" t="n">
        <x:v>1</x:v>
      </x:c>
      <x:c r="C4" s="16" t="n">
        <x:v>218</x:v>
      </x:c>
      <x:c r="D4" s="17"/>
      <x:c r="E4" s="16" t="n">
        <x:v>1</x:v>
      </x:c>
      <x:c r="F4" s="16" t="n">
        <x:v>1</x:v>
      </x:c>
      <x:c r="G4" s="16" t="n">
        <x:v>1</x:v>
      </x:c>
      <x:c r="H4" s="17" t="str">
        <x:v>bound_development_only</x:v>
      </x:c>
      <x:c r="I4" s="17" t="str">
        <x:v>candidate</x:v>
      </x:c>
      <x:c r="J4" s="18" t="str">
        <x:v>../MirServer沉默世界_MYF/Mir200/Envir/MonItems/稻草人.txt</x:v>
      </x:c>
      <x:c r="K4" s="18" t="str">
        <x:v>仅显式development配置使用的跨来源候选；未通过目标1.80行为/数值/真机验收，不进入正式发布。 子集权重1是开发候选，不沿用来源独立概率。</x:v>
      </x:c>
    </x:row>
    <x:row r="5" ht="26.399999618530273" hidden="0" customHeight="1">
      <x:c r="A5" s="19" t="n">
        <x:v>2</x:v>
      </x:c>
      <x:c r="B5" s="16" t="n">
        <x:v>1</x:v>
      </x:c>
      <x:c r="C5" s="16" t="n">
        <x:v>193</x:v>
      </x:c>
      <x:c r="D5" s="17"/>
      <x:c r="E5" s="16" t="n">
        <x:v>1</x:v>
      </x:c>
      <x:c r="F5" s="16" t="n">
        <x:v>1</x:v>
      </x:c>
      <x:c r="G5" s="16" t="n">
        <x:v>1</x:v>
      </x:c>
      <x:c r="H5" s="17" t="str">
        <x:v>bound_development_only</x:v>
      </x:c>
      <x:c r="I5" s="17" t="str">
        <x:v>candidate</x:v>
      </x:c>
      <x:c r="J5" s="18" t="str">
        <x:v>../MirServer沉默世界_MYF/Mir200/Envir/MonItems/稻草人.txt</x:v>
      </x:c>
      <x:c r="K5" s="18" t="str">
        <x:v>仅显式development配置使用的跨来源候选；未通过目标1.80行为/数值/真机验收，不进入正式发布。 子集权重1是开发候选，不沿用来源独立概率。</x:v>
      </x:c>
    </x:row>
    <x:row r="6" ht="26.399999618530273" hidden="0" customHeight="1">
      <x:c r="A6" s="19" t="n">
        <x:v>3</x:v>
      </x:c>
      <x:c r="B6" s="16" t="n">
        <x:v>2</x:v>
      </x:c>
      <x:c r="C6" s="16" t="n">
        <x:v>35</x:v>
      </x:c>
      <x:c r="D6" s="17"/>
      <x:c r="E6" s="16" t="n">
        <x:v>1</x:v>
      </x:c>
      <x:c r="F6" s="16" t="n">
        <x:v>1</x:v>
      </x:c>
      <x:c r="G6" s="16" t="n">
        <x:v>1</x:v>
      </x:c>
      <x:c r="H6" s="17" t="str">
        <x:v>bound_development_only</x:v>
      </x:c>
      <x:c r="I6" s="17" t="str">
        <x:v>candidate</x:v>
      </x:c>
      <x:c r="J6" s="18" t="str">
        <x:v>../MirServer沉默世界_MYF/Mir200/Envir/MonItems/稻草人.txt</x:v>
      </x:c>
      <x:c r="K6" s="18" t="str">
        <x:v>仅显式development配置使用的跨来源候选；未通过目标1.80行为/数值/真机验收，不进入正式发布。 子集权重1是开发候选，不沿用来源独立概率。</x:v>
      </x:c>
    </x:row>
    <x:row r="7" ht="26.399999618530273" hidden="0" customHeight="1">
      <x:c r="A7" s="19" t="n">
        <x:v>4</x:v>
      </x:c>
      <x:c r="B7" s="16" t="n">
        <x:v>2</x:v>
      </x:c>
      <x:c r="C7" s="16" t="n">
        <x:v>36</x:v>
      </x:c>
      <x:c r="D7" s="17"/>
      <x:c r="E7" s="16" t="n">
        <x:v>1</x:v>
      </x:c>
      <x:c r="F7" s="16" t="n">
        <x:v>1</x:v>
      </x:c>
      <x:c r="G7" s="16" t="n">
        <x:v>1</x:v>
      </x:c>
      <x:c r="H7" s="17" t="str">
        <x:v>bound_development_only</x:v>
      </x:c>
      <x:c r="I7" s="17" t="str">
        <x:v>candidate</x:v>
      </x:c>
      <x:c r="J7" s="18" t="str">
        <x:v>../MirServer沉默世界_MYF/Mir200/Envir/MonItems/稻草人.txt</x:v>
      </x:c>
      <x:c r="K7" s="18" t="str">
        <x:v>仅显式development配置使用的跨来源候选；未通过目标1.80行为/数值/真机验收，不进入正式发布。 子集权重1是开发候选，不沿用来源独立概率。</x:v>
      </x:c>
    </x:row>
    <x:row r="8" ht="26.399999618530273" hidden="0" customHeight="1">
      <x:c r="A8" s="19" t="n">
        <x:v>5</x:v>
      </x:c>
      <x:c r="B8" s="16" t="n">
        <x:v>3</x:v>
      </x:c>
      <x:c r="C8" s="16"/>
      <x:c r="D8" s="17" t="str">
        <x:v>bound_gold</x:v>
      </x:c>
      <x:c r="E8" s="16" t="n">
        <x:v>1</x:v>
      </x:c>
      <x:c r="F8" s="16" t="n">
        <x:v>30</x:v>
      </x:c>
      <x:c r="G8" s="16" t="n">
        <x:v>30</x:v>
      </x:c>
      <x:c r="H8" s="17" t="str">
        <x:v>bound_development_only</x:v>
      </x:c>
      <x:c r="I8" s="17" t="str">
        <x:v>candidate</x:v>
      </x:c>
      <x:c r="J8" s="18" t="str">
        <x:v>../MirServer沉默世界_MYF/Mir200/Envir/MonItems/稻草人.txt:6</x:v>
      </x:c>
      <x:c r="K8" s="18" t="str">
        <x:v>仅显式development配置使用的跨来源候选；未通过目标1.80行为/数值/真机验收，不进入正式发布。</x:v>
      </x:c>
    </x:row>
    <x:row r="9" ht="70" hidden="0" customHeight="1">
      <x:c r="A9" s="19" t="n">
        <x:v>6</x:v>
      </x:c>
      <x:c r="B9" s="16" t="n">
        <x:v>2</x:v>
      </x:c>
      <x:c r="C9" s="16" t="n">
        <x:v>7</x:v>
      </x:c>
      <x:c r="D9" s="17"/>
      <x:c r="E9" s="16" t="n">
        <x:v>1</x:v>
      </x:c>
      <x:c r="F9" s="16" t="n">
        <x:v>1</x:v>
      </x:c>
      <x:c r="G9" s="16" t="n">
        <x:v>1</x:v>
      </x:c>
      <x:c r="H9" s="17" t="str">
        <x:v>kill_event_privilege</x:v>
      </x:c>
      <x:c r="I9" s="17" t="str">
        <x:v>candidate</x:v>
      </x:c>
      <x:c r="J9" s="18" t="str">
        <x:v>最终策划4.8/5.11书页特殊条目；本轮development普通道具子集适配</x:v>
      </x:c>
      <x:c r="K9" s="18" t="str">
        <x:v>开发分类内等权加入精良职业书，不新增独立概率池，不称目标稻草人原掉落或正式精英/BOSS来源已验收。</x:v>
      </x:c>
    </x:row>
    <x:row r="10" ht="70" customHeight="1">
      <x:c r="A10" s="19" t="n">
        <x:v>7</x:v>
      </x:c>
      <x:c r="B10" s="16" t="n">
        <x:v>2</x:v>
      </x:c>
      <x:c r="C10" s="16" t="n">
        <x:v>21</x:v>
      </x:c>
      <x:c r="D10" s="17"/>
      <x:c r="E10" s="16" t="n">
        <x:v>1</x:v>
      </x:c>
      <x:c r="F10" s="16" t="n">
        <x:v>1</x:v>
      </x:c>
      <x:c r="G10" s="16" t="n">
        <x:v>1</x:v>
      </x:c>
      <x:c r="H10" s="17" t="str">
        <x:v>kill_event_privilege</x:v>
      </x:c>
      <x:c r="I10" s="17" t="str">
        <x:v>candidate</x:v>
      </x:c>
      <x:c r="J10" s="18" t="str">
        <x:v>最终策划4.8/5.11书页特殊条目；本轮development普通道具子集适配</x:v>
      </x:c>
      <x:c r="K10" s="18" t="str">
        <x:v>开发分类内等权加入精良职业书，不新增独立概率池，不称目标稻草人原掉落或正式精英/BOSS来源已验收。</x:v>
      </x:c>
    </x:row>
    <x:row r="11" ht="70" customHeight="1">
      <x:c r="A11" s="19" t="n">
        <x:v>8</x:v>
      </x:c>
      <x:c r="B11" s="16" t="n">
        <x:v>2</x:v>
      </x:c>
      <x:c r="C11" s="16" t="n">
        <x:v>1</x:v>
      </x:c>
      <x:c r="D11" s="17"/>
      <x:c r="E11" s="16" t="n">
        <x:v>1</x:v>
      </x:c>
      <x:c r="F11" s="16" t="n">
        <x:v>1</x:v>
      </x:c>
      <x:c r="G11" s="16" t="n">
        <x:v>1</x:v>
      </x:c>
      <x:c r="H11" s="17" t="str">
        <x:v>kill_event_privilege</x:v>
      </x:c>
      <x:c r="I11" s="17" t="str">
        <x:v>candidate</x:v>
      </x:c>
      <x:c r="J11" s="18" t="str">
        <x:v>最终策划4.8/5.11书页特殊条目；本轮development普通道具子集适配</x:v>
      </x:c>
      <x:c r="K11" s="18" t="str">
        <x:v>开发分类内等权加入精良职业书，不新增独立概率池，不称目标稻草人原掉落或正式精英/BOSS来源已验收。</x:v>
      </x:c>
    </x:row>
    <x:row r="12" ht="70" customHeight="1">
      <x:c r="A12" s="19" t="n">
        <x:v>9</x:v>
      </x:c>
      <x:c r="B12" s="16" t="n">
        <x:v>2</x:v>
      </x:c>
      <x:c r="C12" s="16" t="n">
        <x:v>22</x:v>
      </x:c>
      <x:c r="D12" s="17"/>
      <x:c r="E12" s="16" t="n">
        <x:v>1</x:v>
      </x:c>
      <x:c r="F12" s="16" t="n">
        <x:v>1</x:v>
      </x:c>
      <x:c r="G12" s="16" t="n">
        <x:v>1</x:v>
      </x:c>
      <x:c r="H12" s="17" t="str">
        <x:v>kill_event_privilege</x:v>
      </x:c>
      <x:c r="I12" s="17" t="str">
        <x:v>candidate</x:v>
      </x:c>
      <x:c r="J12" s="18" t="str">
        <x:v>最终策划4.8/5.11书页特殊条目；本轮development普通道具子集适配</x:v>
      </x:c>
      <x:c r="K12" s="18" t="str">
        <x:v>开发分类内等权加入精良职业书，不新增独立概率池，不称目标稻草人原掉落或正式精英/BOSS来源已验收。</x:v>
      </x:c>
    </x:row>
    <x:row r="13" ht="70" customHeight="1">
      <x:c r="A13" s="19" t="n">
        <x:v>10</x:v>
      </x:c>
      <x:c r="B13" s="16" t="n">
        <x:v>2</x:v>
      </x:c>
      <x:c r="C13" s="16" t="n">
        <x:v>12</x:v>
      </x:c>
      <x:c r="D13" s="17"/>
      <x:c r="E13" s="16" t="n">
        <x:v>1</x:v>
      </x:c>
      <x:c r="F13" s="16" t="n">
        <x:v>1</x:v>
      </x:c>
      <x:c r="G13" s="16" t="n">
        <x:v>1</x:v>
      </x:c>
      <x:c r="H13" s="17" t="str">
        <x:v>kill_event_privilege</x:v>
      </x:c>
      <x:c r="I13" s="17" t="str">
        <x:v>candidate</x:v>
      </x:c>
      <x:c r="J13" s="18" t="str">
        <x:v>最终策划4.8/5.11书页特殊条目；本轮development普通道具子集适配</x:v>
      </x:c>
      <x:c r="K13" s="18" t="str">
        <x:v>开发分类内等权加入精良职业书，不新增独立概率池，不称目标稻草人原掉落或正式精英/BOSS来源已验收。</x:v>
      </x:c>
    </x:row>
    <x:row r="14" ht="70" customHeight="1">
      <x:c r="A14" s="19" t="n">
        <x:v>11</x:v>
      </x:c>
      <x:c r="B14" s="16" t="n">
        <x:v>2</x:v>
      </x:c>
      <x:c r="C14" s="16" t="n">
        <x:v>11</x:v>
      </x:c>
      <x:c r="D14" s="17"/>
      <x:c r="E14" s="16" t="n">
        <x:v>1</x:v>
      </x:c>
      <x:c r="F14" s="16" t="n">
        <x:v>1</x:v>
      </x:c>
      <x:c r="G14" s="16" t="n">
        <x:v>1</x:v>
      </x:c>
      <x:c r="H14" s="17" t="str">
        <x:v>kill_event_privilege</x:v>
      </x:c>
      <x:c r="I14" s="17" t="str">
        <x:v>candidate</x:v>
      </x:c>
      <x:c r="J14" s="18" t="str">
        <x:v>最终策划4.8/5.11书页特殊条目；本轮development普通道具子集适配</x:v>
      </x:c>
      <x:c r="K14" s="18" t="str">
        <x:v>开发分类内等权加入精良职业书，不新增独立概率池，不称目标稻草人原掉落或正式精英/BOSS来源已验收。</x:v>
      </x:c>
    </x:row>
    <x:row r="15" ht="70" customHeight="1">
      <x:c r="A15" s="19" t="n">
        <x:v>12</x:v>
      </x:c>
      <x:c r="B15" s="16" t="n">
        <x:v>2</x:v>
      </x:c>
      <x:c r="C15" s="16" t="n">
        <x:v>14</x:v>
      </x:c>
      <x:c r="D15" s="17"/>
      <x:c r="E15" s="16" t="n">
        <x:v>1</x:v>
      </x:c>
      <x:c r="F15" s="16" t="n">
        <x:v>1</x:v>
      </x:c>
      <x:c r="G15" s="16" t="n">
        <x:v>1</x:v>
      </x:c>
      <x:c r="H15" s="17" t="str">
        <x:v>kill_event_privilege</x:v>
      </x:c>
      <x:c r="I15" s="17" t="str">
        <x:v>candidate</x:v>
      </x:c>
      <x:c r="J15" s="18" t="str">
        <x:v>最终策划4.8/5.11书页特殊条目；本轮development普通道具子集适配</x:v>
      </x:c>
      <x:c r="K15" s="18" t="str">
        <x:v>开发分类内等权加入精良职业书，不新增独立概率池，不称目标稻草人原掉落或正式精英/BOSS来源已验收。</x:v>
      </x:c>
    </x:row>
    <x:row r="16" ht="70" customHeight="1">
      <x:c r="A16" s="19" t="n">
        <x:v>13</x:v>
      </x:c>
      <x:c r="B16" s="16" t="n">
        <x:v>2</x:v>
      </x:c>
      <x:c r="C16" s="16" t="n">
        <x:v>32</x:v>
      </x:c>
      <x:c r="D16" s="17"/>
      <x:c r="E16" s="16" t="n">
        <x:v>1</x:v>
      </x:c>
      <x:c r="F16" s="16" t="n">
        <x:v>1</x:v>
      </x:c>
      <x:c r="G16" s="16" t="n">
        <x:v>1</x:v>
      </x:c>
      <x:c r="H16" s="17" t="str">
        <x:v>kill_event_privilege</x:v>
      </x:c>
      <x:c r="I16" s="17" t="str">
        <x:v>candidate</x:v>
      </x:c>
      <x:c r="J16" s="18" t="str">
        <x:v>最终策划4.8/5.11书页特殊条目；本轮development普通道具子集适配</x:v>
      </x:c>
      <x:c r="K16" s="18" t="str">
        <x:v>开发分类内等权加入精良职业书，不新增独立概率池，不称目标稻草人原掉落或正式精英/BOSS来源已验收。</x:v>
      </x:c>
    </x:row>
    <x:row r="17" ht="70" customHeight="1">
      <x:c r="A17" s="19" t="n">
        <x:v>14</x:v>
      </x:c>
      <x:c r="B17" s="16" t="n">
        <x:v>2</x:v>
      </x:c>
      <x:c r="C17" s="16" t="n">
        <x:v>2</x:v>
      </x:c>
      <x:c r="D17" s="17"/>
      <x:c r="E17" s="16" t="n">
        <x:v>1</x:v>
      </x:c>
      <x:c r="F17" s="16" t="n">
        <x:v>1</x:v>
      </x:c>
      <x:c r="G17" s="16" t="n">
        <x:v>1</x:v>
      </x:c>
      <x:c r="H17" s="17" t="str">
        <x:v>kill_event_privilege</x:v>
      </x:c>
      <x:c r="I17" s="17" t="str">
        <x:v>candidate</x:v>
      </x:c>
      <x:c r="J17" s="18" t="str">
        <x:v>最终策划4.8/5.11书页特殊条目；本轮development普通道具子集适配</x:v>
      </x:c>
      <x:c r="K17" s="18" t="str">
        <x:v>开发分类内等权加入精良职业书，不新增独立概率池，不称目标稻草人原掉落或正式精英/BOSS来源已验收。</x:v>
      </x:c>
    </x:row>
    <x:row r="18" ht="70" customHeight="1">
      <x:c r="A18" s="19" t="n">
        <x:v>15</x:v>
      </x:c>
      <x:c r="B18" s="16" t="n">
        <x:v>2</x:v>
      </x:c>
      <x:c r="C18" s="16" t="n">
        <x:v>3</x:v>
      </x:c>
      <x:c r="D18" s="17"/>
      <x:c r="E18" s="16" t="n">
        <x:v>1</x:v>
      </x:c>
      <x:c r="F18" s="16" t="n">
        <x:v>1</x:v>
      </x:c>
      <x:c r="G18" s="16" t="n">
        <x:v>1</x:v>
      </x:c>
      <x:c r="H18" s="17" t="str">
        <x:v>kill_event_privilege</x:v>
      </x:c>
      <x:c r="I18" s="17" t="str">
        <x:v>candidate</x:v>
      </x:c>
      <x:c r="J18" s="18" t="str">
        <x:v>最终策划4.8/5.11书页特殊条目；本轮development普通道具子集适配</x:v>
      </x:c>
      <x:c r="K18" s="18" t="str">
        <x:v>开发分类内等权加入精良职业书，不新增独立概率池，不称目标稻草人原掉落或正式精英/BOSS来源已验收。</x:v>
      </x:c>
    </x:row>
    <x:row r="19" ht="70" customHeight="1">
      <x:c r="A19" s="19" t="n">
        <x:v>16</x:v>
      </x:c>
      <x:c r="B19" s="16" t="n">
        <x:v>2</x:v>
      </x:c>
      <x:c r="C19" s="16" t="n">
        <x:v>4</x:v>
      </x:c>
      <x:c r="D19" s="17"/>
      <x:c r="E19" s="16" t="n">
        <x:v>1</x:v>
      </x:c>
      <x:c r="F19" s="16" t="n">
        <x:v>1</x:v>
      </x:c>
      <x:c r="G19" s="16" t="n">
        <x:v>1</x:v>
      </x:c>
      <x:c r="H19" s="17" t="str">
        <x:v>kill_event_privilege</x:v>
      </x:c>
      <x:c r="I19" s="17" t="str">
        <x:v>candidate</x:v>
      </x:c>
      <x:c r="J19" s="18" t="str">
        <x:v>最终策划4.8/5.11书页特殊条目；本轮development普通道具子集适配</x:v>
      </x:c>
      <x:c r="K19" s="18" t="str">
        <x:v>开发分类内等权加入精良职业书，不新增独立概率池，不称目标稻草人原掉落或正式精英/BOSS来源已验收。</x:v>
      </x:c>
    </x:row>
    <x:row r="20" ht="70" customHeight="1">
      <x:c r="A20" s="19" t="n">
        <x:v>17</x:v>
      </x:c>
      <x:c r="B20" s="16" t="n">
        <x:v>2</x:v>
      </x:c>
      <x:c r="C20" s="16" t="n">
        <x:v>6</x:v>
      </x:c>
      <x:c r="D20" s="17"/>
      <x:c r="E20" s="16" t="n">
        <x:v>1</x:v>
      </x:c>
      <x:c r="F20" s="16" t="n">
        <x:v>1</x:v>
      </x:c>
      <x:c r="G20" s="16" t="n">
        <x:v>1</x:v>
      </x:c>
      <x:c r="H20" s="17" t="str">
        <x:v>kill_event_privilege</x:v>
      </x:c>
      <x:c r="I20" s="17" t="str">
        <x:v>candidate</x:v>
      </x:c>
      <x:c r="J20" s="18" t="str">
        <x:v>最终策划4.8/5.11书页特殊条目；本轮development普通道具子集适配</x:v>
      </x:c>
      <x:c r="K20" s="18" t="str">
        <x:v>开发分类内等权加入精良职业书，不新增独立概率池，不称目标稻草人原掉落或正式精英/BOSS来源已验收。</x:v>
      </x:c>
    </x:row>
    <x:row r="21" ht="70" customHeight="1">
      <x:c r="A21" s="19" t="n">
        <x:v>18</x:v>
      </x:c>
      <x:c r="B21" s="16" t="n">
        <x:v>2</x:v>
      </x:c>
      <x:c r="C21" s="16" t="n">
        <x:v>16</x:v>
      </x:c>
      <x:c r="D21" s="17"/>
      <x:c r="E21" s="16" t="n">
        <x:v>1</x:v>
      </x:c>
      <x:c r="F21" s="16" t="n">
        <x:v>1</x:v>
      </x:c>
      <x:c r="G21" s="16" t="n">
        <x:v>1</x:v>
      </x:c>
      <x:c r="H21" s="17" t="str">
        <x:v>kill_event_privilege</x:v>
      </x:c>
      <x:c r="I21" s="17" t="str">
        <x:v>candidate</x:v>
      </x:c>
      <x:c r="J21" s="18" t="str">
        <x:v>最终策划4.8/5.11书页特殊条目；本轮development普通道具子集适配</x:v>
      </x:c>
      <x:c r="K21" s="18" t="str">
        <x:v>开发分类内等权加入精良职业书，不新增独立概率池，不称目标稻草人原掉落或正式精英/BOSS来源已验收。</x:v>
      </x:c>
    </x:row>
    <x:row r="22" ht="70" customHeight="1">
      <x:c r="A22" s="19" t="n">
        <x:v>19</x:v>
      </x:c>
      <x:c r="B22" s="16" t="n">
        <x:v>2</x:v>
      </x:c>
      <x:c r="C22" s="16" t="n">
        <x:v>20</x:v>
      </x:c>
      <x:c r="D22" s="17"/>
      <x:c r="E22" s="16" t="n">
        <x:v>1</x:v>
      </x:c>
      <x:c r="F22" s="16" t="n">
        <x:v>1</x:v>
      </x:c>
      <x:c r="G22" s="16" t="n">
        <x:v>1</x:v>
      </x:c>
      <x:c r="H22" s="17" t="str">
        <x:v>kill_event_privilege</x:v>
      </x:c>
      <x:c r="I22" s="17" t="str">
        <x:v>candidate</x:v>
      </x:c>
      <x:c r="J22" s="18" t="str">
        <x:v>最终策划4.8/5.11书页特殊条目；本轮development普通道具子集适配</x:v>
      </x:c>
      <x:c r="K22" s="18" t="str">
        <x:v>开发分类内等权加入精良职业书，不新增独立概率池，不称目标稻草人原掉落或正式精英/BOSS来源已验收。</x:v>
      </x:c>
    </x:row>
    <x:row r="23" ht="70" customHeight="1">
      <x:c r="A23" s="19" t="n">
        <x:v>20</x:v>
      </x:c>
      <x:c r="B23" s="16" t="n">
        <x:v>2</x:v>
      </x:c>
      <x:c r="C23" s="16" t="n">
        <x:v>17</x:v>
      </x:c>
      <x:c r="D23" s="17"/>
      <x:c r="E23" s="16" t="n">
        <x:v>1</x:v>
      </x:c>
      <x:c r="F23" s="16" t="n">
        <x:v>1</x:v>
      </x:c>
      <x:c r="G23" s="16" t="n">
        <x:v>1</x:v>
      </x:c>
      <x:c r="H23" s="17" t="str">
        <x:v>kill_event_privilege</x:v>
      </x:c>
      <x:c r="I23" s="17" t="str">
        <x:v>candidate</x:v>
      </x:c>
      <x:c r="J23" s="18" t="str">
        <x:v>最终策划4.8/5.11书页特殊条目；本轮development普通道具子集适配</x:v>
      </x:c>
      <x:c r="K23" s="18" t="str">
        <x:v>开发分类内等权加入精良职业书，不新增独立概率池，不称目标稻草人原掉落或正式精英/BOSS来源已验收。</x:v>
      </x:c>
    </x:row>
    <x:row r="24" ht="70" customHeight="1">
      <x:c r="A24" s="19" t="n">
        <x:v>21</x:v>
      </x:c>
      <x:c r="B24" s="16" t="n">
        <x:v>2</x:v>
      </x:c>
      <x:c r="C24" s="16" t="n">
        <x:v>10</x:v>
      </x:c>
      <x:c r="D24" s="17"/>
      <x:c r="E24" s="16" t="n">
        <x:v>1</x:v>
      </x:c>
      <x:c r="F24" s="16" t="n">
        <x:v>1</x:v>
      </x:c>
      <x:c r="G24" s="16" t="n">
        <x:v>1</x:v>
      </x:c>
      <x:c r="H24" s="17" t="str">
        <x:v>kill_event_privilege</x:v>
      </x:c>
      <x:c r="I24" s="17" t="str">
        <x:v>candidate</x:v>
      </x:c>
      <x:c r="J24" s="18" t="str">
        <x:v>最终策划4.8/5.11书页特殊条目；本轮development普通道具子集适配</x:v>
      </x:c>
      <x:c r="K24" s="18" t="str">
        <x:v>开发分类内等权加入精良职业书，不新增独立概率池，不称目标稻草人原掉落或正式精英/BOSS来源已验收。</x:v>
      </x:c>
    </x:row>
  </x:sheetData>
  <x:conditionalFormatting sqref="A4:A1003">
    <x:cfRule type="expression" dxfId="597" priority="1">
      <x:formula>AND($A4&lt;&gt;"",ISBLANK(A4))</x:formula>
    </x:cfRule>
  </x:conditionalFormatting>
  <x:conditionalFormatting sqref="B4:B1003">
    <x:cfRule type="expression" dxfId="598" priority="2">
      <x:formula>AND($A4&lt;&gt;"",ISBLANK(B4))</x:formula>
    </x:cfRule>
  </x:conditionalFormatting>
  <x:conditionalFormatting sqref="E4:E1003">
    <x:cfRule type="expression" dxfId="599" priority="3">
      <x:formula>AND($A4&lt;&gt;"",ISBLANK(E4))</x:formula>
    </x:cfRule>
  </x:conditionalFormatting>
  <x:conditionalFormatting sqref="F4:F1003">
    <x:cfRule type="expression" dxfId="600" priority="4">
      <x:formula>AND($A4&lt;&gt;"",ISBLANK(F4))</x:formula>
    </x:cfRule>
  </x:conditionalFormatting>
  <x:conditionalFormatting sqref="G4:G1003">
    <x:cfRule type="expression" dxfId="601" priority="5">
      <x:formula>AND($A4&lt;&gt;"",ISBLANK(G4))</x:formula>
    </x:cfRule>
  </x:conditionalFormatting>
  <x:conditionalFormatting sqref="H4:H1003">
    <x:cfRule type="expression" dxfId="602" priority="6">
      <x:formula>AND($A4&lt;&gt;"",ISBLANK(H4))</x:formula>
    </x:cfRule>
  </x:conditionalFormatting>
  <x:conditionalFormatting sqref="I4:I1003">
    <x:cfRule type="containsText" dxfId="603" priority="7" operator="containsText" text="candidate"/>
    <x:cfRule type="containsText" dxfId="604" priority="8" operator="containsText" text="unverified"/>
    <x:cfRule type="containsText" dxfId="605" priority="9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4" hidden="0" customWidth="1"/>
    <x:col min="8" max="8" width="54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装备阶段</x:v>
      </x:c>
      <x:c r="C1" s="7" t="str">
        <x:v>品质</x:v>
      </x:c>
      <x:c r="D1" s="7" t="str">
        <x:v>来源分账</x:v>
      </x:c>
      <x:c r="E1" s="7" t="str">
        <x:v>时间窗</x:v>
      </x:c>
      <x:c r="F1" s="7" t="str">
        <x:v>窗口额度</x:v>
      </x:c>
      <x:c r="G1" s="7" t="str">
        <x:v>分时补充规则</x:v>
      </x:c>
      <x:c r="H1" s="7" t="str">
        <x:v>不足时降档权重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stage</x:v>
      </x:c>
      <x:c r="C2" s="12" t="str">
        <x:v>quality</x:v>
      </x:c>
      <x:c r="D2" s="12" t="str">
        <x:v>source_kind</x:v>
      </x:c>
      <x:c r="E2" s="12" t="str">
        <x:v>window_seconds</x:v>
      </x:c>
      <x:c r="F2" s="12" t="str">
        <x:v>quota_units</x:v>
      </x:c>
      <x:c r="G2" s="12" t="str">
        <x:v>refill_schedule</x:v>
      </x:c>
      <x:c r="H2" s="12" t="str">
        <x:v>exhausted_downgrade_weights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server</x:v>
      </x:c>
      <x:c r="B3" s="15" t="str">
        <x:v>int / 必填 / server</x:v>
      </x:c>
      <x:c r="C3" s="15" t="str">
        <x:v>int / 必填 / server</x:v>
      </x:c>
      <x:c r="D3" s="15" t="str">
        <x:v>string / 必填 / server</x:v>
      </x:c>
      <x:c r="E3" s="15" t="str">
        <x:v>int / 必填 / server</x:v>
      </x:c>
      <x:c r="F3" s="15" t="str">
        <x:v>int / 必填 / server</x:v>
      </x:c>
      <x:c r="G3" s="15" t="str">
        <x:v>json / 必填 / server</x:v>
      </x:c>
      <x:c r="H3" s="15" t="str">
        <x:v>json / 必填 / server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/>
      <x:c r="B4" s="16"/>
      <x:c r="C4" s="16"/>
      <x:c r="D4" s="17"/>
      <x:c r="E4" s="16"/>
      <x:c r="F4" s="16"/>
      <x:c r="G4" s="17"/>
      <x:c r="H4" s="17"/>
      <x:c r="I4" s="17"/>
      <x:c r="J4" s="18"/>
      <x:c r="K4" s="18"/>
    </x:row>
    <x:row r="5" ht="15" hidden="0" customHeight="1">
      <x:c r="A5" s="19"/>
      <x:c r="B5" s="16"/>
      <x:c r="C5" s="16"/>
      <x:c r="D5" s="17"/>
      <x:c r="E5" s="16"/>
      <x:c r="F5" s="16"/>
      <x:c r="G5" s="17"/>
      <x:c r="H5" s="17"/>
      <x:c r="I5" s="17"/>
      <x:c r="J5" s="18"/>
      <x:c r="K5" s="18"/>
    </x:row>
    <x:row r="6" ht="15" hidden="0" customHeight="1">
      <x:c r="A6" s="19"/>
      <x:c r="B6" s="16"/>
      <x:c r="C6" s="16"/>
      <x:c r="D6" s="17"/>
      <x:c r="E6" s="16"/>
      <x:c r="F6" s="16"/>
      <x:c r="G6" s="17"/>
      <x:c r="H6" s="17"/>
      <x:c r="I6" s="17"/>
      <x:c r="J6" s="18"/>
      <x:c r="K6" s="18"/>
    </x:row>
    <x:row r="7" ht="15" hidden="0" customHeight="1">
      <x:c r="A7" s="19"/>
      <x:c r="B7" s="16"/>
      <x:c r="C7" s="16"/>
      <x:c r="D7" s="17"/>
      <x:c r="E7" s="16"/>
      <x:c r="F7" s="16"/>
      <x:c r="G7" s="17"/>
      <x:c r="H7" s="17"/>
      <x:c r="I7" s="17"/>
      <x:c r="J7" s="18"/>
      <x:c r="K7" s="18"/>
    </x:row>
    <x:row r="8" ht="15" hidden="0" customHeight="1">
      <x:c r="A8" s="19"/>
      <x:c r="B8" s="16"/>
      <x:c r="C8" s="16"/>
      <x:c r="D8" s="17"/>
      <x:c r="E8" s="16"/>
      <x:c r="F8" s="16"/>
      <x:c r="G8" s="17"/>
      <x:c r="H8" s="17"/>
      <x:c r="I8" s="17"/>
      <x:c r="J8" s="18"/>
      <x:c r="K8" s="18"/>
    </x:row>
    <x:row r="9" ht="15" hidden="0" customHeight="1">
      <x:c r="A9" s="19"/>
      <x:c r="B9" s="16"/>
      <x:c r="C9" s="16"/>
      <x:c r="D9" s="17"/>
      <x:c r="E9" s="16"/>
      <x:c r="F9" s="16"/>
      <x:c r="G9" s="17"/>
      <x:c r="H9" s="17"/>
      <x:c r="I9" s="17"/>
      <x:c r="J9" s="18"/>
      <x:c r="K9" s="18"/>
    </x:row>
  </x:sheetData>
  <x:conditionalFormatting sqref="A4:A1003">
    <x:cfRule type="expression" dxfId="606" priority="1">
      <x:formula>AND($A4&lt;&gt;"",ISBLANK(A4))</x:formula>
    </x:cfRule>
  </x:conditionalFormatting>
  <x:conditionalFormatting sqref="B4:B1003">
    <x:cfRule type="expression" dxfId="607" priority="2">
      <x:formula>AND($A4&lt;&gt;"",ISBLANK(B4))</x:formula>
    </x:cfRule>
  </x:conditionalFormatting>
  <x:conditionalFormatting sqref="C4:C1003">
    <x:cfRule type="expression" dxfId="608" priority="3">
      <x:formula>AND($A4&lt;&gt;"",ISBLANK(C4))</x:formula>
    </x:cfRule>
  </x:conditionalFormatting>
  <x:conditionalFormatting sqref="D4:D1003">
    <x:cfRule type="expression" dxfId="609" priority="4">
      <x:formula>AND($A4&lt;&gt;"",ISBLANK(D4))</x:formula>
    </x:cfRule>
  </x:conditionalFormatting>
  <x:conditionalFormatting sqref="E4:E1003">
    <x:cfRule type="expression" dxfId="610" priority="5">
      <x:formula>AND($A4&lt;&gt;"",ISBLANK(E4))</x:formula>
    </x:cfRule>
  </x:conditionalFormatting>
  <x:conditionalFormatting sqref="F4:F1003">
    <x:cfRule type="expression" dxfId="611" priority="6">
      <x:formula>AND($A4&lt;&gt;"",ISBLANK(F4))</x:formula>
    </x:cfRule>
  </x:conditionalFormatting>
  <x:conditionalFormatting sqref="G4:G1003">
    <x:cfRule type="expression" dxfId="612" priority="7">
      <x:formula>AND($A4&lt;&gt;"",ISBLANK(G4))</x:formula>
    </x:cfRule>
  </x:conditionalFormatting>
  <x:conditionalFormatting sqref="H4:H1003">
    <x:cfRule type="expression" dxfId="613" priority="8">
      <x:formula>AND($A4&lt;&gt;"",ISBLANK(H4))</x:formula>
    </x:cfRule>
  </x:conditionalFormatting>
  <x:conditionalFormatting sqref="I4:I1003">
    <x:cfRule type="containsText" dxfId="614" priority="9" operator="containsText" text="candidate"/>
    <x:cfRule type="containsText" dxfId="615" priority="10" operator="containsText" text="unverified"/>
    <x:cfRule type="containsText" dxfId="616" priority="11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18" hidden="0" customWidth="1"/>
    <x:col min="6" max="6" width="23" hidden="0" customWidth="1"/>
    <x:col min="7" max="7" width="54" hidden="0" customWidth="1"/>
    <x:col min="8" max="8" width="25" hidden="0" customWidth="1"/>
    <x:col min="9" max="9" width="54" hidden="0" customWidth="1"/>
    <x:col min="10" max="10" width="18" hidden="0" customWidth="1"/>
    <x:col min="11" max="11" width="48" hidden="0" customWidth="1"/>
    <x:col min="12" max="12" width="70" hidden="0" customWidth="1"/>
  </x:cols>
  <x:sheetData>
    <x:row r="1" ht="30" customHeight="1">
      <x:c r="A1" s="7" t="str">
        <x:v>配置编号</x:v>
      </x:c>
      <x:c r="B1" s="7" t="str">
        <x:v>阶段</x:v>
      </x:c>
      <x:c r="C1" s="7" t="str">
        <x:v>品质</x:v>
      </x:c>
      <x:c r="D1" s="7" t="str">
        <x:v>整数金币分布</x:v>
      </x:c>
      <x:c r="E1" s="7" t="str">
        <x:v>持久&lt;=0金币</x:v>
      </x:c>
      <x:c r="F1" s="7" t="str">
        <x:v>洗炼石候选率</x:v>
      </x:c>
      <x:c r="G1" s="7" t="str">
        <x:v>损坏后副产物规则</x:v>
      </x:c>
      <x:c r="H1" s="7" t="str">
        <x:v>祝福油概率公式</x:v>
      </x:c>
      <x:c r="I1" s="7" t="str">
        <x:v>金币石油可同时结算</x:v>
      </x:c>
      <x:c r="J1" s="7" t="str">
        <x:v>参数状态</x:v>
      </x:c>
      <x:c r="K1" s="7" t="str">
        <x:v>来源章节与行号</x:v>
      </x:c>
      <x:c r="L1" s="7" t="str">
        <x:v>说明</x:v>
      </x:c>
    </x:row>
    <x:row r="2" ht="30" customHeight="1">
      <x:c r="A2" s="12" t="str">
        <x:v>id</x:v>
      </x:c>
      <x:c r="B2" s="12" t="str">
        <x:v>equipment_stage</x:v>
      </x:c>
      <x:c r="C2" s="12" t="str">
        <x:v>quality</x:v>
      </x:c>
      <x:c r="D2" s="12" t="str">
        <x:v>gold_distribution</x:v>
      </x:c>
      <x:c r="E2" s="12" t="str">
        <x:v>broken_gold</x:v>
      </x:c>
      <x:c r="F2" s="12" t="str">
        <x:v>stone_probability_ppm</x:v>
      </x:c>
      <x:c r="G2" s="12" t="str">
        <x:v>broken_byproducts</x:v>
      </x:c>
      <x:c r="H2" s="12" t="str">
        <x:v>oil_probability_formula</x:v>
      </x:c>
      <x:c r="I2" s="12" t="str">
        <x:v>rewards_combinable</x:v>
      </x:c>
      <x:c r="J2" s="12" t="str">
        <x:v>record_status</x:v>
      </x:c>
      <x:c r="K2" s="12" t="str">
        <x:v>source_ref</x:v>
      </x:c>
      <x:c r="L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json / 必填 / both</x:v>
      </x:c>
      <x:c r="E3" s="15" t="str">
        <x:v>int / 必填 / both</x:v>
      </x:c>
      <x:c r="F3" s="15" t="str">
        <x:v>int / 可空 / 百万分率 / both</x:v>
      </x:c>
      <x:c r="G3" s="15" t="str">
        <x:v>json / 必填 / both</x:v>
      </x:c>
      <x:c r="H3" s="15" t="str">
        <x:v>string / 必填 / both</x:v>
      </x:c>
      <x:c r="I3" s="15" t="str">
        <x:v>json / 必填 / both</x:v>
      </x:c>
      <x:c r="J3" s="15" t="str">
        <x:v>string / 必填 / none</x:v>
      </x:c>
      <x:c r="K3" s="15" t="str">
        <x:v>string / 必填 / none</x:v>
      </x:c>
      <x:c r="L3" s="15" t="str">
        <x:v>string / 可空 / none</x:v>
      </x:c>
    </x:row>
    <x:row r="4" ht="52.79999923706055" hidden="0" customHeight="1">
      <x:c r="A4" s="19" t="n">
        <x:v>1</x:v>
      </x:c>
      <x:c r="B4" s="16" t="n">
        <x:v>0</x:v>
      </x:c>
      <x:c r="C4" s="16" t="n">
        <x:v>0</x:v>
      </x:c>
      <x:c r="D4" s="17"/>
      <x:c r="E4" s="16" t="n">
        <x:v>0</x:v>
      </x:c>
      <x:c r="F4" s="16"/>
      <x:c r="G4" s="17"/>
      <x:c r="H4" s="17"/>
      <x:c r="I4" s="17"/>
      <x:c r="J4" s="17" t="str">
        <x:v>candidate</x:v>
      </x:c>
      <x:c r="K4" s="18" t="str">
        <x:v>最终策划案.md:125；用户2026-10-26开发闭环授权</x:v>
      </x:c>
      <x:c r="L4" s="18" t="str">
        <x:v>仅显式development配置使用的跨来源候选；未通过目标1.80行为/数值/真机验收，不进入正式发布。 正式金币分布未知仍空；开发测试仅在独立夹具授权引用来源售价，不能冒充本表已核验回收价。</x:v>
      </x:c>
    </x:row>
    <x:row r="5" ht="15" hidden="0" customHeight="1">
      <x:c r="A5" s="19"/>
      <x:c r="B5" s="16"/>
      <x:c r="C5" s="16"/>
      <x:c r="D5" s="17"/>
      <x:c r="E5" s="16"/>
      <x:c r="F5" s="16"/>
      <x:c r="G5" s="17"/>
      <x:c r="H5" s="17"/>
      <x:c r="I5" s="17"/>
      <x:c r="J5" s="17"/>
      <x:c r="K5" s="18"/>
      <x:c r="L5" s="18"/>
    </x:row>
    <x:row r="6" ht="15" hidden="0" customHeight="1">
      <x:c r="A6" s="19"/>
      <x:c r="B6" s="16"/>
      <x:c r="C6" s="16"/>
      <x:c r="D6" s="17"/>
      <x:c r="E6" s="16"/>
      <x:c r="F6" s="16"/>
      <x:c r="G6" s="17"/>
      <x:c r="H6" s="17"/>
      <x:c r="I6" s="17"/>
      <x:c r="J6" s="17"/>
      <x:c r="K6" s="18"/>
      <x:c r="L6" s="18"/>
    </x:row>
    <x:row r="7" ht="15" hidden="0" customHeight="1">
      <x:c r="A7" s="19"/>
      <x:c r="B7" s="16"/>
      <x:c r="C7" s="16"/>
      <x:c r="D7" s="17"/>
      <x:c r="E7" s="16"/>
      <x:c r="F7" s="16"/>
      <x:c r="G7" s="17"/>
      <x:c r="H7" s="17"/>
      <x:c r="I7" s="17"/>
      <x:c r="J7" s="17"/>
      <x:c r="K7" s="18"/>
      <x:c r="L7" s="18"/>
    </x:row>
    <x:row r="8" ht="15" hidden="0" customHeight="1">
      <x:c r="A8" s="19"/>
      <x:c r="B8" s="16"/>
      <x:c r="C8" s="16"/>
      <x:c r="D8" s="17"/>
      <x:c r="E8" s="16"/>
      <x:c r="F8" s="16"/>
      <x:c r="G8" s="17"/>
      <x:c r="H8" s="17"/>
      <x:c r="I8" s="17"/>
      <x:c r="J8" s="17"/>
      <x:c r="K8" s="18"/>
      <x:c r="L8" s="18"/>
    </x:row>
    <x:row r="9" ht="15" hidden="0" customHeight="1">
      <x:c r="A9" s="19"/>
      <x:c r="B9" s="16"/>
      <x:c r="C9" s="16"/>
      <x:c r="D9" s="17"/>
      <x:c r="E9" s="16"/>
      <x:c r="F9" s="16"/>
      <x:c r="G9" s="17"/>
      <x:c r="H9" s="17"/>
      <x:c r="I9" s="17"/>
      <x:c r="J9" s="17"/>
      <x:c r="K9" s="18"/>
      <x:c r="L9" s="18"/>
    </x:row>
  </x:sheetData>
  <x:conditionalFormatting sqref="A4:A1003">
    <x:cfRule type="expression" dxfId="617" priority="1">
      <x:formula>AND($A4&lt;&gt;"",ISBLANK(A4))</x:formula>
    </x:cfRule>
  </x:conditionalFormatting>
  <x:conditionalFormatting sqref="B4:B1003">
    <x:cfRule type="expression" dxfId="618" priority="2">
      <x:formula>AND($A4&lt;&gt;"",ISBLANK(B4))</x:formula>
    </x:cfRule>
  </x:conditionalFormatting>
  <x:conditionalFormatting sqref="C4:C1003">
    <x:cfRule type="expression" dxfId="619" priority="3">
      <x:formula>AND($A4&lt;&gt;"",ISBLANK(C4))</x:formula>
    </x:cfRule>
  </x:conditionalFormatting>
  <x:conditionalFormatting sqref="D4:D1003">
    <x:cfRule type="expression" dxfId="620" priority="4">
      <x:formula>AND($A4&lt;&gt;"",ISBLANK(D4))</x:formula>
    </x:cfRule>
  </x:conditionalFormatting>
  <x:conditionalFormatting sqref="E4:E1003">
    <x:cfRule type="expression" dxfId="621" priority="5">
      <x:formula>AND($A4&lt;&gt;"",ISBLANK(E4))</x:formula>
    </x:cfRule>
  </x:conditionalFormatting>
  <x:conditionalFormatting sqref="G4:G1003">
    <x:cfRule type="expression" dxfId="622" priority="6">
      <x:formula>AND($A4&lt;&gt;"",ISBLANK(G4))</x:formula>
    </x:cfRule>
  </x:conditionalFormatting>
  <x:conditionalFormatting sqref="H4:H1003">
    <x:cfRule type="expression" dxfId="623" priority="7">
      <x:formula>AND($A4&lt;&gt;"",ISBLANK(H4))</x:formula>
    </x:cfRule>
  </x:conditionalFormatting>
  <x:conditionalFormatting sqref="I4:I1003">
    <x:cfRule type="expression" dxfId="624" priority="8">
      <x:formula>AND($A4&lt;&gt;"",ISBLANK(I4))</x:formula>
    </x:cfRule>
  </x:conditionalFormatting>
  <x:conditionalFormatting sqref="J4:J1003">
    <x:cfRule type="containsText" dxfId="625" priority="9" operator="containsText" text="candidate"/>
    <x:cfRule type="containsText" dxfId="626" priority="10" operator="containsText" text="unverified"/>
    <x:cfRule type="containsText" dxfId="627" priority="11" operator="containsText" text="historical"/>
  </x:conditionalFormatting>
  <x:dataValidations count="1">
    <x:dataValidation type="list" sqref="J4:J1003">
      <x:formula1>"confirmed,candidate,unverified,historical"</x:formula1>
    </x:dataValidation>
  </x:dataValidations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词条ID</x:v>
      </x:c>
      <x:c r="C1" s="7" t="str">
        <x:v>装备阶段</x:v>
      </x:c>
      <x:c r="D1" s="7" t="str">
        <x:v>阶段基数定点值</x:v>
      </x:c>
      <x:c r="E1" s="7" t="str">
        <x:v>定点尺度</x:v>
      </x:c>
      <x:c r="F1" s="7" t="str">
        <x:v>叠加组</x:v>
      </x:c>
      <x:c r="G1" s="7" t="str">
        <x:v>单件上限</x:v>
      </x:c>
      <x:c r="H1" s="7" t="str">
        <x:v>全身上限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affix_id</x:v>
      </x:c>
      <x:c r="C2" s="12" t="str">
        <x:v>equipment_stage</x:v>
      </x:c>
      <x:c r="D2" s="12" t="str">
        <x:v>base_value_fixed</x:v>
      </x:c>
      <x:c r="E2" s="12" t="str">
        <x:v>value_scale</x:v>
      </x:c>
      <x:c r="F2" s="12" t="str">
        <x:v>stacking_group</x:v>
      </x:c>
      <x:c r="G2" s="12" t="str">
        <x:v>per_item_cap</x:v>
      </x:c>
      <x:c r="H2" s="12" t="str">
        <x:v>whole_role_cap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string / 必填 / both</x:v>
      </x:c>
      <x:c r="G3" s="15" t="str">
        <x:v>int / 可空 / both</x:v>
      </x:c>
      <x:c r="H3" s="15" t="str">
        <x:v>int / 可空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/>
      <x:c r="B4" s="16"/>
      <x:c r="C4" s="16"/>
      <x:c r="D4" s="16"/>
      <x:c r="E4" s="16"/>
      <x:c r="F4" s="17"/>
      <x:c r="G4" s="16"/>
      <x:c r="H4" s="16"/>
      <x:c r="I4" s="17"/>
      <x:c r="J4" s="18"/>
      <x:c r="K4" s="18"/>
    </x:row>
    <x:row r="5" ht="15" hidden="0" customHeight="1">
      <x:c r="A5" s="19"/>
      <x:c r="B5" s="16"/>
      <x:c r="C5" s="16"/>
      <x:c r="D5" s="16"/>
      <x:c r="E5" s="16"/>
      <x:c r="F5" s="17"/>
      <x:c r="G5" s="16"/>
      <x:c r="H5" s="16"/>
      <x:c r="I5" s="17"/>
      <x:c r="J5" s="18"/>
      <x:c r="K5" s="18"/>
    </x:row>
    <x:row r="6" ht="15" hidden="0" customHeight="1">
      <x:c r="A6" s="19"/>
      <x:c r="B6" s="16"/>
      <x:c r="C6" s="16"/>
      <x:c r="D6" s="16"/>
      <x:c r="E6" s="16"/>
      <x:c r="F6" s="17"/>
      <x:c r="G6" s="16"/>
      <x:c r="H6" s="16"/>
      <x:c r="I6" s="17"/>
      <x:c r="J6" s="18"/>
      <x:c r="K6" s="18"/>
    </x:row>
    <x:row r="7" ht="15" hidden="0" customHeight="1">
      <x:c r="A7" s="19"/>
      <x:c r="B7" s="16"/>
      <x:c r="C7" s="16"/>
      <x:c r="D7" s="16"/>
      <x:c r="E7" s="16"/>
      <x:c r="F7" s="17"/>
      <x:c r="G7" s="16"/>
      <x:c r="H7" s="16"/>
      <x:c r="I7" s="17"/>
      <x:c r="J7" s="18"/>
      <x:c r="K7" s="18"/>
    </x:row>
    <x:row r="8" ht="15" hidden="0" customHeight="1">
      <x:c r="A8" s="19"/>
      <x:c r="B8" s="16"/>
      <x:c r="C8" s="16"/>
      <x:c r="D8" s="16"/>
      <x:c r="E8" s="16"/>
      <x:c r="F8" s="17"/>
      <x:c r="G8" s="16"/>
      <x:c r="H8" s="16"/>
      <x:c r="I8" s="17"/>
      <x:c r="J8" s="18"/>
      <x:c r="K8" s="18"/>
    </x:row>
    <x:row r="9" ht="15" hidden="0" customHeight="1">
      <x:c r="A9" s="19"/>
      <x:c r="B9" s="16"/>
      <x:c r="C9" s="16"/>
      <x:c r="D9" s="16"/>
      <x:c r="E9" s="16"/>
      <x:c r="F9" s="17"/>
      <x:c r="G9" s="16"/>
      <x:c r="H9" s="16"/>
      <x:c r="I9" s="17"/>
      <x:c r="J9" s="18"/>
      <x:c r="K9" s="18"/>
    </x:row>
  </x:sheetData>
  <x:conditionalFormatting sqref="A4:A1003">
    <x:cfRule type="expression" dxfId="628" priority="1">
      <x:formula>AND($A4&lt;&gt;"",ISBLANK(A4))</x:formula>
    </x:cfRule>
  </x:conditionalFormatting>
  <x:conditionalFormatting sqref="B4:B1003">
    <x:cfRule type="expression" dxfId="629" priority="2">
      <x:formula>AND($A4&lt;&gt;"",ISBLANK(B4))</x:formula>
    </x:cfRule>
  </x:conditionalFormatting>
  <x:conditionalFormatting sqref="C4:C1003">
    <x:cfRule type="expression" dxfId="630" priority="3">
      <x:formula>AND($A4&lt;&gt;"",ISBLANK(C4))</x:formula>
    </x:cfRule>
  </x:conditionalFormatting>
  <x:conditionalFormatting sqref="D4:D1003">
    <x:cfRule type="expression" dxfId="631" priority="4">
      <x:formula>AND($A4&lt;&gt;"",ISBLANK(D4))</x:formula>
    </x:cfRule>
  </x:conditionalFormatting>
  <x:conditionalFormatting sqref="E4:E1003">
    <x:cfRule type="expression" dxfId="632" priority="5">
      <x:formula>AND($A4&lt;&gt;"",ISBLANK(E4))</x:formula>
    </x:cfRule>
  </x:conditionalFormatting>
  <x:conditionalFormatting sqref="F4:F1003">
    <x:cfRule type="expression" dxfId="633" priority="6">
      <x:formula>AND($A4&lt;&gt;"",ISBLANK(F4))</x:formula>
    </x:cfRule>
  </x:conditionalFormatting>
  <x:conditionalFormatting sqref="I4:I1003">
    <x:cfRule type="containsText" dxfId="634" priority="7" operator="containsText" text="candidate"/>
    <x:cfRule type="containsText" dxfId="635" priority="8" operator="containsText" text="unverified"/>
    <x:cfRule type="containsText" dxfId="636" priority="9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工具键</x:v>
      </x:c>
      <x:c r="C1" s="7" t="str">
        <x:v>适用楼层</x:v>
      </x:c>
      <x:c r="D1" s="7" t="str">
        <x:v>购入金币</x:v>
      </x:c>
      <x:c r="E1" s="7" t="str">
        <x:v>耐久存储单位</x:v>
      </x:c>
      <x:c r="F1" s="7" t="str">
        <x:v>每判定耗损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tool_key</x:v>
      </x:c>
      <x:c r="C2" s="12" t="str">
        <x:v>required_layer</x:v>
      </x:c>
      <x:c r="D2" s="12" t="str">
        <x:v>gold_price</x:v>
      </x:c>
      <x:c r="E2" s="12" t="str">
        <x:v>durability_u</x:v>
      </x:c>
      <x:c r="F2" s="12" t="str">
        <x:v>loss_per_attempt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int / 必填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/>
      <x:c r="B4" s="17"/>
      <x:c r="C4" s="16"/>
      <x:c r="D4" s="16"/>
      <x:c r="E4" s="16"/>
      <x:c r="F4" s="16"/>
      <x:c r="G4" s="17"/>
      <x:c r="H4" s="18"/>
      <x:c r="I4" s="18"/>
    </x:row>
    <x:row r="5" ht="15" hidden="0" customHeight="1">
      <x:c r="A5" s="19"/>
      <x:c r="B5" s="17"/>
      <x:c r="C5" s="16"/>
      <x:c r="D5" s="16"/>
      <x:c r="E5" s="16"/>
      <x:c r="F5" s="16"/>
      <x:c r="G5" s="17"/>
      <x:c r="H5" s="18"/>
      <x:c r="I5" s="18"/>
    </x:row>
    <x:row r="6" ht="15" hidden="0" customHeight="1">
      <x:c r="A6" s="19"/>
      <x:c r="B6" s="17"/>
      <x:c r="C6" s="16"/>
      <x:c r="D6" s="16"/>
      <x:c r="E6" s="16"/>
      <x:c r="F6" s="16"/>
      <x:c r="G6" s="17"/>
      <x:c r="H6" s="18"/>
      <x:c r="I6" s="18"/>
    </x:row>
    <x:row r="7" ht="15" hidden="0" customHeight="1">
      <x:c r="A7" s="19"/>
      <x:c r="B7" s="17"/>
      <x:c r="C7" s="16"/>
      <x:c r="D7" s="16"/>
      <x:c r="E7" s="16"/>
      <x:c r="F7" s="16"/>
      <x:c r="G7" s="17"/>
      <x:c r="H7" s="18"/>
      <x:c r="I7" s="18"/>
    </x:row>
    <x:row r="8" ht="15" hidden="0" customHeight="1">
      <x:c r="A8" s="19"/>
      <x:c r="B8" s="17"/>
      <x:c r="C8" s="16"/>
      <x:c r="D8" s="16"/>
      <x:c r="E8" s="16"/>
      <x:c r="F8" s="16"/>
      <x:c r="G8" s="17"/>
      <x:c r="H8" s="18"/>
      <x:c r="I8" s="18"/>
    </x:row>
    <x:row r="9" ht="15" hidden="0" customHeight="1">
      <x:c r="A9" s="19"/>
      <x:c r="B9" s="17"/>
      <x:c r="C9" s="16"/>
      <x:c r="D9" s="16"/>
      <x:c r="E9" s="16"/>
      <x:c r="F9" s="16"/>
      <x:c r="G9" s="17"/>
      <x:c r="H9" s="18"/>
      <x:c r="I9" s="18"/>
    </x:row>
  </x:sheetData>
  <x:conditionalFormatting sqref="A4:A1003">
    <x:cfRule type="expression" dxfId="637" priority="1">
      <x:formula>AND($A4&lt;&gt;"",ISBLANK(A4))</x:formula>
    </x:cfRule>
  </x:conditionalFormatting>
  <x:conditionalFormatting sqref="B4:B1003">
    <x:cfRule type="expression" dxfId="638" priority="2">
      <x:formula>AND($A4&lt;&gt;"",ISBLANK(B4))</x:formula>
    </x:cfRule>
  </x:conditionalFormatting>
  <x:conditionalFormatting sqref="C4:C1003">
    <x:cfRule type="expression" dxfId="639" priority="3">
      <x:formula>AND($A4&lt;&gt;"",ISBLANK(C4))</x:formula>
    </x:cfRule>
  </x:conditionalFormatting>
  <x:conditionalFormatting sqref="D4:D1003">
    <x:cfRule type="expression" dxfId="640" priority="4">
      <x:formula>AND($A4&lt;&gt;"",ISBLANK(D4))</x:formula>
    </x:cfRule>
  </x:conditionalFormatting>
  <x:conditionalFormatting sqref="E4:E1003">
    <x:cfRule type="expression" dxfId="641" priority="5">
      <x:formula>AND($A4&lt;&gt;"",ISBLANK(E4))</x:formula>
    </x:cfRule>
  </x:conditionalFormatting>
  <x:conditionalFormatting sqref="F4:F1003">
    <x:cfRule type="expression" dxfId="642" priority="6">
      <x:formula>AND($A4&lt;&gt;"",ISBLANK(F4))</x:formula>
    </x:cfRule>
  </x:conditionalFormatting>
  <x:conditionalFormatting sqref="G4:G1003">
    <x:cfRule type="containsText" dxfId="643" priority="7" operator="containsText" text="candidate"/>
    <x:cfRule type="containsText" dxfId="644" priority="8" operator="containsText" text="unverified"/>
    <x:cfRule type="containsText" dxfId="645" priority="9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9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54" hidden="0" customWidth="1"/>
    <x:col min="11" max="11" width="54" hidden="0" customWidth="1"/>
    <x:col min="12" max="12" width="18" hidden="0" customWidth="1"/>
    <x:col min="13" max="13" width="48" hidden="0" customWidth="1"/>
    <x:col min="14" max="14" width="70" hidden="0" customWidth="1"/>
  </x:cols>
  <x:sheetData>
    <x:row r="1" ht="30" customHeight="1">
      <x:c r="A1" s="7" t="str">
        <x:v>配置编号</x:v>
      </x:c>
      <x:c r="B1" s="7" t="str">
        <x:v>图纸ID</x:v>
      </x:c>
      <x:c r="C1" s="7" t="str">
        <x:v>目标装备ID</x:v>
      </x:c>
      <x:c r="D1" s="7" t="str">
        <x:v>指定品质</x:v>
      </x:c>
      <x:c r="E1" s="7" t="str">
        <x:v>产装需求等级</x:v>
      </x:c>
      <x:c r="F1" s="7" t="str">
        <x:v>8类配方部位</x:v>
      </x:c>
      <x:c r="G1" s="7" t="str">
        <x:v>黑铁需求</x:v>
      </x:c>
      <x:c r="H1" s="7" t="str">
        <x:v>金币费用</x:v>
      </x:c>
      <x:c r="I1" s="7" t="str">
        <x:v>平均纯度成功率规则</x:v>
      </x:c>
      <x:c r="J1" s="7" t="str">
        <x:v>失败消耗</x:v>
      </x:c>
      <x:c r="K1" s="7" t="str">
        <x:v>附加基础属性抽样</x:v>
      </x:c>
      <x:c r="L1" s="7" t="str">
        <x:v>参数状态</x:v>
      </x:c>
      <x:c r="M1" s="7" t="str">
        <x:v>来源章节与行号</x:v>
      </x:c>
      <x:c r="N1" s="7" t="str">
        <x:v>说明</x:v>
      </x:c>
    </x:row>
    <x:row r="2" ht="30" customHeight="1">
      <x:c r="A2" s="12" t="str">
        <x:v>id</x:v>
      </x:c>
      <x:c r="B2" s="12" t="str">
        <x:v>blueprint_item_id</x:v>
      </x:c>
      <x:c r="C2" s="12" t="str">
        <x:v>output_item_id</x:v>
      </x:c>
      <x:c r="D2" s="12" t="str">
        <x:v>quality</x:v>
      </x:c>
      <x:c r="E2" s="12" t="str">
        <x:v>required_level</x:v>
      </x:c>
      <x:c r="F2" s="12" t="str">
        <x:v>equipment_type</x:v>
      </x:c>
      <x:c r="G2" s="12" t="str">
        <x:v>ore_count</x:v>
      </x:c>
      <x:c r="H2" s="12" t="str">
        <x:v>gold_cost</x:v>
      </x:c>
      <x:c r="I2" s="12" t="str">
        <x:v>success_rule</x:v>
      </x:c>
      <x:c r="J2" s="12" t="str">
        <x:v>failure_losses</x:v>
      </x:c>
      <x:c r="K2" s="12" t="str">
        <x:v>extra_base_attribute</x:v>
      </x:c>
      <x:c r="L2" s="12" t="str">
        <x:v>record_status</x:v>
      </x:c>
      <x:c r="M2" s="12" t="str">
        <x:v>source_ref</x:v>
      </x:c>
      <x:c r="N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string / 必填 / both</x:v>
      </x:c>
      <x:c r="G3" s="15" t="str">
        <x:v>int / 必填 / both</x:v>
      </x:c>
      <x:c r="H3" s="15" t="str">
        <x:v>int / 必填 / both</x:v>
      </x:c>
      <x:c r="I3" s="15" t="str">
        <x:v>string / 必填 / both</x:v>
      </x:c>
      <x:c r="J3" s="15" t="str">
        <x:v>json / 必填 / both</x:v>
      </x:c>
      <x:c r="K3" s="15" t="str">
        <x:v>json / 可空 / both</x:v>
      </x:c>
      <x:c r="L3" s="15" t="str">
        <x:v>string / 必填 / none</x:v>
      </x:c>
      <x:c r="M3" s="15" t="str">
        <x:v>string / 必填 / none</x:v>
      </x:c>
      <x:c r="N3" s="15" t="str">
        <x:v>string / 可空 / none</x:v>
      </x:c>
    </x:row>
    <x:row r="4" ht="15" hidden="0" customHeight="1">
      <x:c r="A4" s="19"/>
      <x:c r="B4" s="16"/>
      <x:c r="C4" s="16"/>
      <x:c r="D4" s="16"/>
      <x:c r="E4" s="16"/>
      <x:c r="F4" s="17"/>
      <x:c r="G4" s="16"/>
      <x:c r="H4" s="16"/>
      <x:c r="I4" s="17"/>
      <x:c r="J4" s="17"/>
      <x:c r="K4" s="17"/>
      <x:c r="L4" s="17"/>
      <x:c r="M4" s="18"/>
      <x:c r="N4" s="18"/>
    </x:row>
    <x:row r="5" ht="15" hidden="0" customHeight="1">
      <x:c r="A5" s="19"/>
      <x:c r="B5" s="16"/>
      <x:c r="C5" s="16"/>
      <x:c r="D5" s="16"/>
      <x:c r="E5" s="16"/>
      <x:c r="F5" s="17"/>
      <x:c r="G5" s="16"/>
      <x:c r="H5" s="16"/>
      <x:c r="I5" s="17"/>
      <x:c r="J5" s="17"/>
      <x:c r="K5" s="17"/>
      <x:c r="L5" s="17"/>
      <x:c r="M5" s="18"/>
      <x:c r="N5" s="18"/>
    </x:row>
    <x:row r="6" ht="15" hidden="0" customHeight="1">
      <x:c r="A6" s="19"/>
      <x:c r="B6" s="16"/>
      <x:c r="C6" s="16"/>
      <x:c r="D6" s="16"/>
      <x:c r="E6" s="16"/>
      <x:c r="F6" s="17"/>
      <x:c r="G6" s="16"/>
      <x:c r="H6" s="16"/>
      <x:c r="I6" s="17"/>
      <x:c r="J6" s="17"/>
      <x:c r="K6" s="17"/>
      <x:c r="L6" s="17"/>
      <x:c r="M6" s="18"/>
      <x:c r="N6" s="18"/>
    </x:row>
    <x:row r="7" ht="15" hidden="0" customHeight="1">
      <x:c r="A7" s="19"/>
      <x:c r="B7" s="16"/>
      <x:c r="C7" s="16"/>
      <x:c r="D7" s="16"/>
      <x:c r="E7" s="16"/>
      <x:c r="F7" s="17"/>
      <x:c r="G7" s="16"/>
      <x:c r="H7" s="16"/>
      <x:c r="I7" s="17"/>
      <x:c r="J7" s="17"/>
      <x:c r="K7" s="17"/>
      <x:c r="L7" s="17"/>
      <x:c r="M7" s="18"/>
      <x:c r="N7" s="18"/>
    </x:row>
    <x:row r="8" ht="15" hidden="0" customHeight="1">
      <x:c r="A8" s="19"/>
      <x:c r="B8" s="16"/>
      <x:c r="C8" s="16"/>
      <x:c r="D8" s="16"/>
      <x:c r="E8" s="16"/>
      <x:c r="F8" s="17"/>
      <x:c r="G8" s="16"/>
      <x:c r="H8" s="16"/>
      <x:c r="I8" s="17"/>
      <x:c r="J8" s="17"/>
      <x:c r="K8" s="17"/>
      <x:c r="L8" s="17"/>
      <x:c r="M8" s="18"/>
      <x:c r="N8" s="18"/>
    </x:row>
    <x:row r="9" ht="15" hidden="0" customHeight="1">
      <x:c r="A9" s="19"/>
      <x:c r="B9" s="16"/>
      <x:c r="C9" s="16"/>
      <x:c r="D9" s="16"/>
      <x:c r="E9" s="16"/>
      <x:c r="F9" s="17"/>
      <x:c r="G9" s="16"/>
      <x:c r="H9" s="16"/>
      <x:c r="I9" s="17"/>
      <x:c r="J9" s="17"/>
      <x:c r="K9" s="17"/>
      <x:c r="L9" s="17"/>
      <x:c r="M9" s="18"/>
      <x:c r="N9" s="18"/>
    </x:row>
  </x:sheetData>
  <x:conditionalFormatting sqref="A4:A1003">
    <x:cfRule type="expression" dxfId="646" priority="1">
      <x:formula>AND($A4&lt;&gt;"",ISBLANK(A4))</x:formula>
    </x:cfRule>
  </x:conditionalFormatting>
  <x:conditionalFormatting sqref="B4:B1003">
    <x:cfRule type="expression" dxfId="647" priority="2">
      <x:formula>AND($A4&lt;&gt;"",ISBLANK(B4))</x:formula>
    </x:cfRule>
  </x:conditionalFormatting>
  <x:conditionalFormatting sqref="C4:C1003">
    <x:cfRule type="expression" dxfId="648" priority="3">
      <x:formula>AND($A4&lt;&gt;"",ISBLANK(C4))</x:formula>
    </x:cfRule>
  </x:conditionalFormatting>
  <x:conditionalFormatting sqref="D4:D1003">
    <x:cfRule type="expression" dxfId="649" priority="4">
      <x:formula>AND($A4&lt;&gt;"",ISBLANK(D4))</x:formula>
    </x:cfRule>
  </x:conditionalFormatting>
  <x:conditionalFormatting sqref="E4:E1003">
    <x:cfRule type="expression" dxfId="650" priority="5">
      <x:formula>AND($A4&lt;&gt;"",ISBLANK(E4))</x:formula>
    </x:cfRule>
  </x:conditionalFormatting>
  <x:conditionalFormatting sqref="F4:F1003">
    <x:cfRule type="expression" dxfId="651" priority="6">
      <x:formula>AND($A4&lt;&gt;"",ISBLANK(F4))</x:formula>
    </x:cfRule>
  </x:conditionalFormatting>
  <x:conditionalFormatting sqref="G4:G1003">
    <x:cfRule type="expression" dxfId="652" priority="7">
      <x:formula>AND($A4&lt;&gt;"",ISBLANK(G4))</x:formula>
    </x:cfRule>
  </x:conditionalFormatting>
  <x:conditionalFormatting sqref="H4:H1003">
    <x:cfRule type="expression" dxfId="653" priority="8">
      <x:formula>AND($A4&lt;&gt;"",ISBLANK(H4))</x:formula>
    </x:cfRule>
  </x:conditionalFormatting>
  <x:conditionalFormatting sqref="I4:I1003">
    <x:cfRule type="expression" dxfId="654" priority="9">
      <x:formula>AND($A4&lt;&gt;"",ISBLANK(I4))</x:formula>
    </x:cfRule>
  </x:conditionalFormatting>
  <x:conditionalFormatting sqref="J4:J1003">
    <x:cfRule type="expression" dxfId="655" priority="10">
      <x:formula>AND($A4&lt;&gt;"",ISBLANK(J4))</x:formula>
    </x:cfRule>
  </x:conditionalFormatting>
  <x:conditionalFormatting sqref="L4:L1003">
    <x:cfRule type="containsText" dxfId="656" priority="11" operator="containsText" text="candidate"/>
    <x:cfRule type="containsText" dxfId="657" priority="12" operator="containsText" text="unverified"/>
    <x:cfRule type="containsText" dxfId="658" priority="13" operator="containsText" text="historical"/>
  </x:conditionalFormatting>
  <x:dataValidations count="1">
    <x:dataValidation type="list" sqref="L4:L1003">
      <x:formula1>"confirmed,candidate,unverified,historical"</x:formula1>
    </x:dataValidation>
  </x:dataValidations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54" hidden="0" customWidth="1"/>
    <x:col min="4" max="4" width="18" hidden="0" customWidth="1"/>
    <x:col min="5" max="5" width="18" hidden="0" customWidth="1"/>
    <x:col min="6" max="6" width="26" hidden="0" customWidth="1"/>
    <x:col min="7" max="7" width="20" hidden="0" customWidth="1"/>
    <x:col min="8" max="8" width="54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修理方式</x:v>
      </x:c>
      <x:c r="C1" s="7" t="str">
        <x:v>适用装备条件</x:v>
      </x:c>
      <x:c r="D1" s="7" t="str">
        <x:v>币种组</x:v>
      </x:c>
      <x:c r="E1" s="7" t="str">
        <x:v>价格公式</x:v>
      </x:c>
      <x:c r="F1" s="7" t="str">
        <x:v>上限损耗率</x:v>
      </x:c>
      <x:c r="G1" s="7" t="str">
        <x:v>修复量</x:v>
      </x:c>
      <x:c r="H1" s="7" t="str">
        <x:v>额外材料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repair_key</x:v>
      </x:c>
      <x:c r="C2" s="12" t="str">
        <x:v>equipment_scope</x:v>
      </x:c>
      <x:c r="D2" s="12" t="str">
        <x:v>currency_family</x:v>
      </x:c>
      <x:c r="E2" s="12" t="str">
        <x:v>cost_formula</x:v>
      </x:c>
      <x:c r="F2" s="12" t="str">
        <x:v>upper_durability_loss_bp</x:v>
      </x:c>
      <x:c r="G2" s="12" t="str">
        <x:v>repair_amount_rule</x:v>
      </x:c>
      <x:c r="H2" s="12" t="str">
        <x:v>material_costs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both</x:v>
      </x:c>
      <x:c r="E3" s="15" t="str">
        <x:v>string / 必填 / both</x:v>
      </x:c>
      <x:c r="F3" s="15" t="str">
        <x:v>int / 必填 / 万分率 / both</x:v>
      </x:c>
      <x:c r="G3" s="15" t="str">
        <x:v>string / 必填 / both</x:v>
      </x:c>
      <x:c r="H3" s="15" t="str">
        <x:v>json / 可空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/>
      <x:c r="B4" s="17"/>
      <x:c r="C4" s="17"/>
      <x:c r="D4" s="17"/>
      <x:c r="E4" s="17"/>
      <x:c r="F4" s="16"/>
      <x:c r="G4" s="17"/>
      <x:c r="H4" s="17"/>
      <x:c r="I4" s="17"/>
      <x:c r="J4" s="18"/>
      <x:c r="K4" s="18"/>
    </x:row>
    <x:row r="5" ht="15" hidden="0" customHeight="1">
      <x:c r="A5" s="19"/>
      <x:c r="B5" s="17"/>
      <x:c r="C5" s="17"/>
      <x:c r="D5" s="17"/>
      <x:c r="E5" s="17"/>
      <x:c r="F5" s="16"/>
      <x:c r="G5" s="17"/>
      <x:c r="H5" s="17"/>
      <x:c r="I5" s="17"/>
      <x:c r="J5" s="18"/>
      <x:c r="K5" s="18"/>
    </x:row>
    <x:row r="6" ht="15" hidden="0" customHeight="1">
      <x:c r="A6" s="19"/>
      <x:c r="B6" s="17"/>
      <x:c r="C6" s="17"/>
      <x:c r="D6" s="17"/>
      <x:c r="E6" s="17"/>
      <x:c r="F6" s="16"/>
      <x:c r="G6" s="17"/>
      <x:c r="H6" s="17"/>
      <x:c r="I6" s="17"/>
      <x:c r="J6" s="18"/>
      <x:c r="K6" s="18"/>
    </x:row>
    <x:row r="7" ht="15" hidden="0" customHeight="1">
      <x:c r="A7" s="19"/>
      <x:c r="B7" s="17"/>
      <x:c r="C7" s="17"/>
      <x:c r="D7" s="17"/>
      <x:c r="E7" s="17"/>
      <x:c r="F7" s="16"/>
      <x:c r="G7" s="17"/>
      <x:c r="H7" s="17"/>
      <x:c r="I7" s="17"/>
      <x:c r="J7" s="18"/>
      <x:c r="K7" s="18"/>
    </x:row>
    <x:row r="8" ht="15" hidden="0" customHeight="1">
      <x:c r="A8" s="19"/>
      <x:c r="B8" s="17"/>
      <x:c r="C8" s="17"/>
      <x:c r="D8" s="17"/>
      <x:c r="E8" s="17"/>
      <x:c r="F8" s="16"/>
      <x:c r="G8" s="17"/>
      <x:c r="H8" s="17"/>
      <x:c r="I8" s="17"/>
      <x:c r="J8" s="18"/>
      <x:c r="K8" s="18"/>
    </x:row>
    <x:row r="9" ht="15" hidden="0" customHeight="1">
      <x:c r="A9" s="19"/>
      <x:c r="B9" s="17"/>
      <x:c r="C9" s="17"/>
      <x:c r="D9" s="17"/>
      <x:c r="E9" s="17"/>
      <x:c r="F9" s="16"/>
      <x:c r="G9" s="17"/>
      <x:c r="H9" s="17"/>
      <x:c r="I9" s="17"/>
      <x:c r="J9" s="18"/>
      <x:c r="K9" s="18"/>
    </x:row>
  </x:sheetData>
  <x:conditionalFormatting sqref="A4:A1003">
    <x:cfRule type="expression" dxfId="659" priority="1">
      <x:formula>AND($A4&lt;&gt;"",ISBLANK(A4))</x:formula>
    </x:cfRule>
  </x:conditionalFormatting>
  <x:conditionalFormatting sqref="B4:B1003">
    <x:cfRule type="expression" dxfId="660" priority="2">
      <x:formula>AND($A4&lt;&gt;"",ISBLANK(B4))</x:formula>
    </x:cfRule>
  </x:conditionalFormatting>
  <x:conditionalFormatting sqref="C4:C1003">
    <x:cfRule type="expression" dxfId="661" priority="3">
      <x:formula>AND($A4&lt;&gt;"",ISBLANK(C4))</x:formula>
    </x:cfRule>
  </x:conditionalFormatting>
  <x:conditionalFormatting sqref="D4:D1003">
    <x:cfRule type="expression" dxfId="662" priority="4">
      <x:formula>AND($A4&lt;&gt;"",ISBLANK(D4))</x:formula>
    </x:cfRule>
  </x:conditionalFormatting>
  <x:conditionalFormatting sqref="E4:E1003">
    <x:cfRule type="expression" dxfId="663" priority="5">
      <x:formula>AND($A4&lt;&gt;"",ISBLANK(E4))</x:formula>
    </x:cfRule>
  </x:conditionalFormatting>
  <x:conditionalFormatting sqref="F4:F1003">
    <x:cfRule type="expression" dxfId="664" priority="6">
      <x:formula>AND($A4&lt;&gt;"",ISBLANK(F4))</x:formula>
    </x:cfRule>
  </x:conditionalFormatting>
  <x:conditionalFormatting sqref="G4:G1003">
    <x:cfRule type="expression" dxfId="665" priority="7">
      <x:formula>AND($A4&lt;&gt;"",ISBLANK(G4))</x:formula>
    </x:cfRule>
  </x:conditionalFormatting>
  <x:conditionalFormatting sqref="I4:I1003">
    <x:cfRule type="containsText" dxfId="666" priority="8" operator="containsText" text="candidate"/>
    <x:cfRule type="containsText" dxfId="667" priority="9" operator="containsText" text="unverified"/>
    <x:cfRule type="containsText" dxfId="668" priority="10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54" hidden="0" customWidth="1"/>
    <x:col min="9" max="9" width="22" hidden="0" customWidth="1"/>
    <x:col min="10" max="10" width="31" hidden="0" customWidth="1"/>
    <x:col min="11" max="11" width="18" hidden="0" customWidth="1"/>
    <x:col min="12" max="12" width="48" hidden="0" customWidth="1"/>
    <x:col min="13" max="13" width="70" hidden="0" customWidth="1"/>
  </x:cols>
  <x:sheetData>
    <x:row r="1" ht="30" customHeight="1">
      <x:c r="A1" s="7" t="str">
        <x:v>配置编号</x:v>
      </x:c>
      <x:c r="B1" s="7" t="str">
        <x:v>个人世界域外</x:v>
      </x:c>
      <x:c r="C1" s="7" t="str">
        <x:v>BOSS怪物</x:v>
      </x:c>
      <x:c r="D1" s="7" t="str">
        <x:v>挑战地图</x:v>
      </x:c>
      <x:c r="E1" s="7" t="str">
        <x:v>进入等级</x:v>
      </x:c>
      <x:c r="F1" s="7" t="str">
        <x:v>成功冷却</x:v>
      </x:c>
      <x:c r="G1" s="7" t="str">
        <x:v>失败冷却</x:v>
      </x:c>
      <x:c r="H1" s="7" t="str">
        <x:v>有效参与资格</x:v>
      </x:c>
      <x:c r="I1" s="7" t="str">
        <x:v>排名奖</x:v>
      </x:c>
      <x:c r="J1" s="7" t="str">
        <x:v>参与奖</x:v>
      </x:c>
      <x:c r="K1" s="7" t="str">
        <x:v>参数状态</x:v>
      </x:c>
      <x:c r="L1" s="7" t="str">
        <x:v>来源章节与行号</x:v>
      </x:c>
      <x:c r="M1" s="7" t="str">
        <x:v>说明</x:v>
      </x:c>
    </x:row>
    <x:row r="2" ht="30" customHeight="1">
      <x:c r="A2" s="12" t="str">
        <x:v>id</x:v>
      </x:c>
      <x:c r="B2" s="12" t="str">
        <x:v>boss_kind</x:v>
      </x:c>
      <x:c r="C2" s="12" t="str">
        <x:v>monster_id</x:v>
      </x:c>
      <x:c r="D2" s="12" t="str">
        <x:v>map_id</x:v>
      </x:c>
      <x:c r="E2" s="12" t="str">
        <x:v>required_level</x:v>
      </x:c>
      <x:c r="F2" s="12" t="str">
        <x:v>cooldown_seconds</x:v>
      </x:c>
      <x:c r="G2" s="12" t="str">
        <x:v>failure_cooldown_seconds</x:v>
      </x:c>
      <x:c r="H2" s="12" t="str">
        <x:v>participation_rule</x:v>
      </x:c>
      <x:c r="I2" s="12" t="str">
        <x:v>rank_reward_group_id</x:v>
      </x:c>
      <x:c r="J2" s="12" t="str">
        <x:v>participation_reward_group_id</x:v>
      </x:c>
      <x:c r="K2" s="12" t="str">
        <x:v>record_status</x:v>
      </x:c>
      <x:c r="L2" s="12" t="str">
        <x:v>source_ref</x:v>
      </x:c>
      <x:c r="M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int / 必填 / both</x:v>
      </x:c>
      <x:c r="G3" s="15" t="str">
        <x:v>int / 必填 / both</x:v>
      </x:c>
      <x:c r="H3" s="15" t="str">
        <x:v>json / 必填 / server</x:v>
      </x:c>
      <x:c r="I3" s="15" t="str">
        <x:v>int / 可空 / both</x:v>
      </x:c>
      <x:c r="J3" s="15" t="str">
        <x:v>int / 可空 / both</x:v>
      </x:c>
      <x:c r="K3" s="15" t="str">
        <x:v>string / 必填 / none</x:v>
      </x:c>
      <x:c r="L3" s="15" t="str">
        <x:v>string / 必填 / none</x:v>
      </x:c>
      <x:c r="M3" s="15" t="str">
        <x:v>string / 可空 / none</x:v>
      </x:c>
    </x:row>
    <x:row r="4" ht="15" hidden="0" customHeight="1">
      <x:c r="A4" s="19"/>
      <x:c r="B4" s="17"/>
      <x:c r="C4" s="16"/>
      <x:c r="D4" s="16"/>
      <x:c r="E4" s="16"/>
      <x:c r="F4" s="16"/>
      <x:c r="G4" s="16"/>
      <x:c r="H4" s="17"/>
      <x:c r="I4" s="16"/>
      <x:c r="J4" s="16"/>
      <x:c r="K4" s="17"/>
      <x:c r="L4" s="18"/>
      <x:c r="M4" s="18"/>
    </x:row>
    <x:row r="5" ht="15" hidden="0" customHeight="1">
      <x:c r="A5" s="19"/>
      <x:c r="B5" s="17"/>
      <x:c r="C5" s="16"/>
      <x:c r="D5" s="16"/>
      <x:c r="E5" s="16"/>
      <x:c r="F5" s="16"/>
      <x:c r="G5" s="16"/>
      <x:c r="H5" s="17"/>
      <x:c r="I5" s="16"/>
      <x:c r="J5" s="16"/>
      <x:c r="K5" s="17"/>
      <x:c r="L5" s="18"/>
      <x:c r="M5" s="18"/>
    </x:row>
    <x:row r="6" ht="15" hidden="0" customHeight="1">
      <x:c r="A6" s="19"/>
      <x:c r="B6" s="17"/>
      <x:c r="C6" s="16"/>
      <x:c r="D6" s="16"/>
      <x:c r="E6" s="16"/>
      <x:c r="F6" s="16"/>
      <x:c r="G6" s="16"/>
      <x:c r="H6" s="17"/>
      <x:c r="I6" s="16"/>
      <x:c r="J6" s="16"/>
      <x:c r="K6" s="17"/>
      <x:c r="L6" s="18"/>
      <x:c r="M6" s="18"/>
    </x:row>
    <x:row r="7" ht="15" hidden="0" customHeight="1">
      <x:c r="A7" s="19"/>
      <x:c r="B7" s="17"/>
      <x:c r="C7" s="16"/>
      <x:c r="D7" s="16"/>
      <x:c r="E7" s="16"/>
      <x:c r="F7" s="16"/>
      <x:c r="G7" s="16"/>
      <x:c r="H7" s="17"/>
      <x:c r="I7" s="16"/>
      <x:c r="J7" s="16"/>
      <x:c r="K7" s="17"/>
      <x:c r="L7" s="18"/>
      <x:c r="M7" s="18"/>
    </x:row>
    <x:row r="8" ht="15" hidden="0" customHeight="1">
      <x:c r="A8" s="19"/>
      <x:c r="B8" s="17"/>
      <x:c r="C8" s="16"/>
      <x:c r="D8" s="16"/>
      <x:c r="E8" s="16"/>
      <x:c r="F8" s="16"/>
      <x:c r="G8" s="16"/>
      <x:c r="H8" s="17"/>
      <x:c r="I8" s="16"/>
      <x:c r="J8" s="16"/>
      <x:c r="K8" s="17"/>
      <x:c r="L8" s="18"/>
      <x:c r="M8" s="18"/>
    </x:row>
    <x:row r="9" ht="15" hidden="0" customHeight="1">
      <x:c r="A9" s="19"/>
      <x:c r="B9" s="17"/>
      <x:c r="C9" s="16"/>
      <x:c r="D9" s="16"/>
      <x:c r="E9" s="16"/>
      <x:c r="F9" s="16"/>
      <x:c r="G9" s="16"/>
      <x:c r="H9" s="17"/>
      <x:c r="I9" s="16"/>
      <x:c r="J9" s="16"/>
      <x:c r="K9" s="17"/>
      <x:c r="L9" s="18"/>
      <x:c r="M9" s="18"/>
    </x:row>
  </x:sheetData>
  <x:conditionalFormatting sqref="A4:A1003">
    <x:cfRule type="expression" dxfId="669" priority="1">
      <x:formula>AND($A4&lt;&gt;"",ISBLANK(A4))</x:formula>
    </x:cfRule>
  </x:conditionalFormatting>
  <x:conditionalFormatting sqref="B4:B1003">
    <x:cfRule type="expression" dxfId="670" priority="2">
      <x:formula>AND($A4&lt;&gt;"",ISBLANK(B4))</x:formula>
    </x:cfRule>
  </x:conditionalFormatting>
  <x:conditionalFormatting sqref="C4:C1003">
    <x:cfRule type="expression" dxfId="671" priority="3">
      <x:formula>AND($A4&lt;&gt;"",ISBLANK(C4))</x:formula>
    </x:cfRule>
  </x:conditionalFormatting>
  <x:conditionalFormatting sqref="D4:D1003">
    <x:cfRule type="expression" dxfId="672" priority="4">
      <x:formula>AND($A4&lt;&gt;"",ISBLANK(D4))</x:formula>
    </x:cfRule>
  </x:conditionalFormatting>
  <x:conditionalFormatting sqref="E4:E1003">
    <x:cfRule type="expression" dxfId="673" priority="5">
      <x:formula>AND($A4&lt;&gt;"",ISBLANK(E4))</x:formula>
    </x:cfRule>
  </x:conditionalFormatting>
  <x:conditionalFormatting sqref="F4:F1003">
    <x:cfRule type="expression" dxfId="674" priority="6">
      <x:formula>AND($A4&lt;&gt;"",ISBLANK(F4))</x:formula>
    </x:cfRule>
  </x:conditionalFormatting>
  <x:conditionalFormatting sqref="G4:G1003">
    <x:cfRule type="expression" dxfId="675" priority="7">
      <x:formula>AND($A4&lt;&gt;"",ISBLANK(G4))</x:formula>
    </x:cfRule>
  </x:conditionalFormatting>
  <x:conditionalFormatting sqref="H4:H1003">
    <x:cfRule type="expression" dxfId="676" priority="8">
      <x:formula>AND($A4&lt;&gt;"",ISBLANK(H4))</x:formula>
    </x:cfRule>
  </x:conditionalFormatting>
  <x:conditionalFormatting sqref="K4:K1003">
    <x:cfRule type="containsText" dxfId="677" priority="9" operator="containsText" text="candidate"/>
    <x:cfRule type="containsText" dxfId="678" priority="10" operator="containsText" text="unverified"/>
    <x:cfRule type="containsText" dxfId="679" priority="11" operator="containsText" text="historical"/>
  </x:conditionalFormatting>
  <x:dataValidations count="1">
    <x:dataValidation type="list" sqref="K4:K1003">
      <x:formula1>"confirmed,candidate,unverified,historical"</x:formula1>
    </x:dataValidation>
  </x:dataValidations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18" hidden="0" customWidth="1"/>
    <x:col min="6" max="6" width="54" hidden="0" customWidth="1"/>
    <x:col min="7" max="7" width="18" hidden="0" customWidth="1"/>
    <x:col min="8" max="8" width="19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副本键</x:v>
      </x:c>
      <x:c r="C1" s="7" t="str">
        <x:v>进入等级</x:v>
      </x:c>
      <x:c r="D1" s="7" t="str">
        <x:v>两小怪精英最终BOSS配置</x:v>
      </x:c>
      <x:c r="E1" s="7" t="str">
        <x:v>时限</x:v>
      </x:c>
      <x:c r="F1" s="7" t="str">
        <x:v>AI能力与费用</x:v>
      </x:c>
      <x:c r="G1" s="7" t="str">
        <x:v>终点奖励</x:v>
      </x:c>
      <x:c r="H1" s="7" t="str">
        <x:v>健康断线策略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dungeon_key</x:v>
      </x:c>
      <x:c r="C2" s="12" t="str">
        <x:v>required_level</x:v>
      </x:c>
      <x:c r="D2" s="12" t="str">
        <x:v>segments</x:v>
      </x:c>
      <x:c r="E2" s="12" t="str">
        <x:v>time_limit_sec</x:v>
      </x:c>
      <x:c r="F2" s="12" t="str">
        <x:v>ai_hire_options</x:v>
      </x:c>
      <x:c r="G2" s="12" t="str">
        <x:v>reward_group_id</x:v>
      </x:c>
      <x:c r="H2" s="12" t="str">
        <x:v>disconnect_policy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json / 必填 / both</x:v>
      </x:c>
      <x:c r="E3" s="15" t="str">
        <x:v>int / 必填 / both</x:v>
      </x:c>
      <x:c r="F3" s="15" t="str">
        <x:v>json / 必填 / both</x:v>
      </x:c>
      <x:c r="G3" s="15" t="str">
        <x:v>int / 必填 / both</x:v>
      </x:c>
      <x:c r="H3" s="15" t="str">
        <x:v>string / 必填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/>
      <x:c r="B4" s="17"/>
      <x:c r="C4" s="16"/>
      <x:c r="D4" s="17"/>
      <x:c r="E4" s="16"/>
      <x:c r="F4" s="17"/>
      <x:c r="G4" s="16"/>
      <x:c r="H4" s="17"/>
      <x:c r="I4" s="17"/>
      <x:c r="J4" s="18"/>
      <x:c r="K4" s="18"/>
    </x:row>
    <x:row r="5" ht="15" hidden="0" customHeight="1">
      <x:c r="A5" s="19"/>
      <x:c r="B5" s="17"/>
      <x:c r="C5" s="16"/>
      <x:c r="D5" s="17"/>
      <x:c r="E5" s="16"/>
      <x:c r="F5" s="17"/>
      <x:c r="G5" s="16"/>
      <x:c r="H5" s="17"/>
      <x:c r="I5" s="17"/>
      <x:c r="J5" s="18"/>
      <x:c r="K5" s="18"/>
    </x:row>
    <x:row r="6" ht="15" hidden="0" customHeight="1">
      <x:c r="A6" s="19"/>
      <x:c r="B6" s="17"/>
      <x:c r="C6" s="16"/>
      <x:c r="D6" s="17"/>
      <x:c r="E6" s="16"/>
      <x:c r="F6" s="17"/>
      <x:c r="G6" s="16"/>
      <x:c r="H6" s="17"/>
      <x:c r="I6" s="17"/>
      <x:c r="J6" s="18"/>
      <x:c r="K6" s="18"/>
    </x:row>
    <x:row r="7" ht="15" hidden="0" customHeight="1">
      <x:c r="A7" s="19"/>
      <x:c r="B7" s="17"/>
      <x:c r="C7" s="16"/>
      <x:c r="D7" s="17"/>
      <x:c r="E7" s="16"/>
      <x:c r="F7" s="17"/>
      <x:c r="G7" s="16"/>
      <x:c r="H7" s="17"/>
      <x:c r="I7" s="17"/>
      <x:c r="J7" s="18"/>
      <x:c r="K7" s="18"/>
    </x:row>
    <x:row r="8" ht="15" hidden="0" customHeight="1">
      <x:c r="A8" s="19"/>
      <x:c r="B8" s="17"/>
      <x:c r="C8" s="16"/>
      <x:c r="D8" s="17"/>
      <x:c r="E8" s="16"/>
      <x:c r="F8" s="17"/>
      <x:c r="G8" s="16"/>
      <x:c r="H8" s="17"/>
      <x:c r="I8" s="17"/>
      <x:c r="J8" s="18"/>
      <x:c r="K8" s="18"/>
    </x:row>
    <x:row r="9" ht="15" hidden="0" customHeight="1">
      <x:c r="A9" s="19"/>
      <x:c r="B9" s="17"/>
      <x:c r="C9" s="16"/>
      <x:c r="D9" s="17"/>
      <x:c r="E9" s="16"/>
      <x:c r="F9" s="17"/>
      <x:c r="G9" s="16"/>
      <x:c r="H9" s="17"/>
      <x:c r="I9" s="17"/>
      <x:c r="J9" s="18"/>
      <x:c r="K9" s="18"/>
    </x:row>
  </x:sheetData>
  <x:conditionalFormatting sqref="A4:A1003">
    <x:cfRule type="expression" dxfId="680" priority="1">
      <x:formula>AND($A4&lt;&gt;"",ISBLANK(A4))</x:formula>
    </x:cfRule>
  </x:conditionalFormatting>
  <x:conditionalFormatting sqref="B4:B1003">
    <x:cfRule type="expression" dxfId="681" priority="2">
      <x:formula>AND($A4&lt;&gt;"",ISBLANK(B4))</x:formula>
    </x:cfRule>
  </x:conditionalFormatting>
  <x:conditionalFormatting sqref="C4:C1003">
    <x:cfRule type="expression" dxfId="682" priority="3">
      <x:formula>AND($A4&lt;&gt;"",ISBLANK(C4))</x:formula>
    </x:cfRule>
  </x:conditionalFormatting>
  <x:conditionalFormatting sqref="D4:D1003">
    <x:cfRule type="expression" dxfId="683" priority="4">
      <x:formula>AND($A4&lt;&gt;"",ISBLANK(D4))</x:formula>
    </x:cfRule>
  </x:conditionalFormatting>
  <x:conditionalFormatting sqref="E4:E1003">
    <x:cfRule type="expression" dxfId="684" priority="5">
      <x:formula>AND($A4&lt;&gt;"",ISBLANK(E4))</x:formula>
    </x:cfRule>
  </x:conditionalFormatting>
  <x:conditionalFormatting sqref="F4:F1003">
    <x:cfRule type="expression" dxfId="685" priority="6">
      <x:formula>AND($A4&lt;&gt;"",ISBLANK(F4))</x:formula>
    </x:cfRule>
  </x:conditionalFormatting>
  <x:conditionalFormatting sqref="G4:G1003">
    <x:cfRule type="expression" dxfId="686" priority="7">
      <x:formula>AND($A4&lt;&gt;"",ISBLANK(G4))</x:formula>
    </x:cfRule>
  </x:conditionalFormatting>
  <x:conditionalFormatting sqref="H4:H1003">
    <x:cfRule type="expression" dxfId="687" priority="8">
      <x:formula>AND($A4&lt;&gt;"",ISBLANK(H4))</x:formula>
    </x:cfRule>
  </x:conditionalFormatting>
  <x:conditionalFormatting sqref="I4:I1003">
    <x:cfRule type="containsText" dxfId="688" priority="9" operator="containsText" text="candidate"/>
    <x:cfRule type="containsText" dxfId="689" priority="10" operator="containsText" text="unverified"/>
    <x:cfRule type="containsText" dxfId="690" priority="11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21" hidden="0" customWidth="1"/>
    <x:col min="7" max="7" width="18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排名参与兑换类型</x:v>
      </x:c>
      <x:c r="C1" s="7" t="str">
        <x:v>名次下限</x:v>
      </x:c>
      <x:c r="D1" s="7" t="str">
        <x:v>名次上限</x:v>
      </x:c>
      <x:c r="E1" s="7" t="str">
        <x:v>参与次数</x:v>
      </x:c>
      <x:c r="F1" s="7" t="str">
        <x:v>兑换积分</x:v>
      </x:c>
      <x:c r="G1" s="7" t="str">
        <x:v>奖励组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reward_kind</x:v>
      </x:c>
      <x:c r="C2" s="12" t="str">
        <x:v>rank_min</x:v>
      </x:c>
      <x:c r="D2" s="12" t="str">
        <x:v>rank_max</x:v>
      </x:c>
      <x:c r="E2" s="12" t="str">
        <x:v>required_participation</x:v>
      </x:c>
      <x:c r="F2" s="12" t="str">
        <x:v>exchange_point_cost</x:v>
      </x:c>
      <x:c r="G2" s="12" t="str">
        <x:v>reward_group_id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可空 / both</x:v>
      </x:c>
      <x:c r="D3" s="15" t="str">
        <x:v>int / 可空 / both</x:v>
      </x:c>
      <x:c r="E3" s="15" t="str">
        <x:v>int / 可空 / both</x:v>
      </x:c>
      <x:c r="F3" s="15" t="str">
        <x:v>int / 可空 / both</x:v>
      </x:c>
      <x:c r="G3" s="15" t="str">
        <x:v>int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/>
      <x:c r="B4" s="17"/>
      <x:c r="C4" s="16"/>
      <x:c r="D4" s="16"/>
      <x:c r="E4" s="16"/>
      <x:c r="F4" s="16"/>
      <x:c r="G4" s="16"/>
      <x:c r="H4" s="17"/>
      <x:c r="I4" s="18"/>
      <x:c r="J4" s="18"/>
    </x:row>
    <x:row r="5" ht="15" hidden="0" customHeight="1">
      <x:c r="A5" s="19"/>
      <x:c r="B5" s="17"/>
      <x:c r="C5" s="16"/>
      <x:c r="D5" s="16"/>
      <x:c r="E5" s="16"/>
      <x:c r="F5" s="16"/>
      <x:c r="G5" s="16"/>
      <x:c r="H5" s="17"/>
      <x:c r="I5" s="18"/>
      <x:c r="J5" s="18"/>
    </x:row>
    <x:row r="6" ht="15" hidden="0" customHeight="1">
      <x:c r="A6" s="19"/>
      <x:c r="B6" s="17"/>
      <x:c r="C6" s="16"/>
      <x:c r="D6" s="16"/>
      <x:c r="E6" s="16"/>
      <x:c r="F6" s="16"/>
      <x:c r="G6" s="16"/>
      <x:c r="H6" s="17"/>
      <x:c r="I6" s="18"/>
      <x:c r="J6" s="18"/>
    </x:row>
    <x:row r="7" ht="15" hidden="0" customHeight="1">
      <x:c r="A7" s="19"/>
      <x:c r="B7" s="17"/>
      <x:c r="C7" s="16"/>
      <x:c r="D7" s="16"/>
      <x:c r="E7" s="16"/>
      <x:c r="F7" s="16"/>
      <x:c r="G7" s="16"/>
      <x:c r="H7" s="17"/>
      <x:c r="I7" s="18"/>
      <x:c r="J7" s="18"/>
    </x:row>
    <x:row r="8" ht="15" hidden="0" customHeight="1">
      <x:c r="A8" s="19"/>
      <x:c r="B8" s="17"/>
      <x:c r="C8" s="16"/>
      <x:c r="D8" s="16"/>
      <x:c r="E8" s="16"/>
      <x:c r="F8" s="16"/>
      <x:c r="G8" s="16"/>
      <x:c r="H8" s="17"/>
      <x:c r="I8" s="18"/>
      <x:c r="J8" s="18"/>
    </x:row>
    <x:row r="9" ht="15" hidden="0" customHeight="1">
      <x:c r="A9" s="19"/>
      <x:c r="B9" s="17"/>
      <x:c r="C9" s="16"/>
      <x:c r="D9" s="16"/>
      <x:c r="E9" s="16"/>
      <x:c r="F9" s="16"/>
      <x:c r="G9" s="16"/>
      <x:c r="H9" s="17"/>
      <x:c r="I9" s="18"/>
      <x:c r="J9" s="18"/>
    </x:row>
  </x:sheetData>
  <x:conditionalFormatting sqref="A4:A1003">
    <x:cfRule type="expression" dxfId="691" priority="1">
      <x:formula>AND($A4&lt;&gt;"",ISBLANK(A4))</x:formula>
    </x:cfRule>
  </x:conditionalFormatting>
  <x:conditionalFormatting sqref="B4:B1003">
    <x:cfRule type="expression" dxfId="692" priority="2">
      <x:formula>AND($A4&lt;&gt;"",ISBLANK(B4))</x:formula>
    </x:cfRule>
  </x:conditionalFormatting>
  <x:conditionalFormatting sqref="G4:G1003">
    <x:cfRule type="expression" dxfId="693" priority="3">
      <x:formula>AND($A4&lt;&gt;"",ISBLANK(G4))</x:formula>
    </x:cfRule>
  </x:conditionalFormatting>
  <x:conditionalFormatting sqref="H4:H1003">
    <x:cfRule type="containsText" dxfId="694" priority="4" operator="containsText" text="candidate"/>
    <x:cfRule type="containsText" dxfId="695" priority="5" operator="containsText" text="unverified"/>
    <x:cfRule type="containsText" dxfId="696" priority="6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54" hidden="0" customWidth="1"/>
    <x:col min="6" max="6" width="18" hidden="0" customWidth="1"/>
    <x:col min="7" max="7" width="18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任务键</x:v>
      </x:c>
      <x:c r="C1" s="7" t="str">
        <x:v>章节</x:v>
      </x:c>
      <x:c r="D1" s="7" t="str">
        <x:v>前置条件</x:v>
      </x:c>
      <x:c r="E1" s="7" t="str">
        <x:v>服务端事件目标</x:v>
      </x:c>
      <x:c r="F1" s="7" t="str">
        <x:v>奖励组</x:v>
      </x:c>
      <x:c r="G1" s="7" t="str">
        <x:v>后续任务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quest_key</x:v>
      </x:c>
      <x:c r="C2" s="12" t="str">
        <x:v>chapter</x:v>
      </x:c>
      <x:c r="D2" s="12" t="str">
        <x:v>prerequisites</x:v>
      </x:c>
      <x:c r="E2" s="12" t="str">
        <x:v>objective_events</x:v>
      </x:c>
      <x:c r="F2" s="12" t="str">
        <x:v>reward_group_id</x:v>
      </x:c>
      <x:c r="G2" s="12" t="str">
        <x:v>next_quest_id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json / 必填 / server</x:v>
      </x:c>
      <x:c r="E3" s="15" t="str">
        <x:v>json / 必填 / server</x:v>
      </x:c>
      <x:c r="F3" s="15" t="str">
        <x:v>int / 必填 / both</x:v>
      </x:c>
      <x:c r="G3" s="15" t="str">
        <x:v>int / 可空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/>
      <x:c r="B4" s="17"/>
      <x:c r="C4" s="16"/>
      <x:c r="D4" s="17"/>
      <x:c r="E4" s="17"/>
      <x:c r="F4" s="16"/>
      <x:c r="G4" s="16"/>
      <x:c r="H4" s="17"/>
      <x:c r="I4" s="18"/>
      <x:c r="J4" s="18"/>
    </x:row>
    <x:row r="5" ht="15" hidden="0" customHeight="1">
      <x:c r="A5" s="19"/>
      <x:c r="B5" s="17"/>
      <x:c r="C5" s="16"/>
      <x:c r="D5" s="17"/>
      <x:c r="E5" s="17"/>
      <x:c r="F5" s="16"/>
      <x:c r="G5" s="16"/>
      <x:c r="H5" s="17"/>
      <x:c r="I5" s="18"/>
      <x:c r="J5" s="18"/>
    </x:row>
    <x:row r="6" ht="15" hidden="0" customHeight="1">
      <x:c r="A6" s="19"/>
      <x:c r="B6" s="17"/>
      <x:c r="C6" s="16"/>
      <x:c r="D6" s="17"/>
      <x:c r="E6" s="17"/>
      <x:c r="F6" s="16"/>
      <x:c r="G6" s="16"/>
      <x:c r="H6" s="17"/>
      <x:c r="I6" s="18"/>
      <x:c r="J6" s="18"/>
    </x:row>
    <x:row r="7" ht="15" hidden="0" customHeight="1">
      <x:c r="A7" s="19"/>
      <x:c r="B7" s="17"/>
      <x:c r="C7" s="16"/>
      <x:c r="D7" s="17"/>
      <x:c r="E7" s="17"/>
      <x:c r="F7" s="16"/>
      <x:c r="G7" s="16"/>
      <x:c r="H7" s="17"/>
      <x:c r="I7" s="18"/>
      <x:c r="J7" s="18"/>
    </x:row>
    <x:row r="8" ht="15" hidden="0" customHeight="1">
      <x:c r="A8" s="19"/>
      <x:c r="B8" s="17"/>
      <x:c r="C8" s="16"/>
      <x:c r="D8" s="17"/>
      <x:c r="E8" s="17"/>
      <x:c r="F8" s="16"/>
      <x:c r="G8" s="16"/>
      <x:c r="H8" s="17"/>
      <x:c r="I8" s="18"/>
      <x:c r="J8" s="18"/>
    </x:row>
    <x:row r="9" ht="15" hidden="0" customHeight="1">
      <x:c r="A9" s="19"/>
      <x:c r="B9" s="17"/>
      <x:c r="C9" s="16"/>
      <x:c r="D9" s="17"/>
      <x:c r="E9" s="17"/>
      <x:c r="F9" s="16"/>
      <x:c r="G9" s="16"/>
      <x:c r="H9" s="17"/>
      <x:c r="I9" s="18"/>
      <x:c r="J9" s="18"/>
    </x:row>
  </x:sheetData>
  <x:conditionalFormatting sqref="A4:A1003">
    <x:cfRule type="expression" dxfId="697" priority="1">
      <x:formula>AND($A4&lt;&gt;"",ISBLANK(A4))</x:formula>
    </x:cfRule>
  </x:conditionalFormatting>
  <x:conditionalFormatting sqref="B4:B1003">
    <x:cfRule type="expression" dxfId="698" priority="2">
      <x:formula>AND($A4&lt;&gt;"",ISBLANK(B4))</x:formula>
    </x:cfRule>
  </x:conditionalFormatting>
  <x:conditionalFormatting sqref="C4:C1003">
    <x:cfRule type="expression" dxfId="699" priority="3">
      <x:formula>AND($A4&lt;&gt;"",ISBLANK(C4))</x:formula>
    </x:cfRule>
  </x:conditionalFormatting>
  <x:conditionalFormatting sqref="D4:D1003">
    <x:cfRule type="expression" dxfId="700" priority="4">
      <x:formula>AND($A4&lt;&gt;"",ISBLANK(D4))</x:formula>
    </x:cfRule>
  </x:conditionalFormatting>
  <x:conditionalFormatting sqref="E4:E1003">
    <x:cfRule type="expression" dxfId="701" priority="5">
      <x:formula>AND($A4&lt;&gt;"",ISBLANK(E4))</x:formula>
    </x:cfRule>
  </x:conditionalFormatting>
  <x:conditionalFormatting sqref="F4:F1003">
    <x:cfRule type="expression" dxfId="702" priority="6">
      <x:formula>AND($A4&lt;&gt;"",ISBLANK(F4))</x:formula>
    </x:cfRule>
  </x:conditionalFormatting>
  <x:conditionalFormatting sqref="H4:H1003">
    <x:cfRule type="containsText" dxfId="703" priority="7" operator="containsText" text="candidate"/>
    <x:cfRule type="containsText" dxfId="704" priority="8" operator="containsText" text="unverified"/>
    <x:cfRule type="containsText" dxfId="705" priority="9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4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每日任务键</x:v>
      </x:c>
      <x:c r="C1" s="7" t="str">
        <x:v>目标事件</x:v>
      </x:c>
      <x:c r="D1" s="7" t="str">
        <x:v>目标数量</x:v>
      </x:c>
      <x:c r="E1" s="7" t="str">
        <x:v>活跃度</x:v>
      </x:c>
      <x:c r="F1" s="7" t="str">
        <x:v>奖励组</x:v>
      </x:c>
      <x:c r="G1" s="7" t="str">
        <x:v>开放条件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task_key</x:v>
      </x:c>
      <x:c r="C2" s="12" t="str">
        <x:v>objective_event</x:v>
      </x:c>
      <x:c r="D2" s="12" t="str">
        <x:v>target_count</x:v>
      </x:c>
      <x:c r="E2" s="12" t="str">
        <x:v>activity_points</x:v>
      </x:c>
      <x:c r="F2" s="12" t="str">
        <x:v>reward_group_id</x:v>
      </x:c>
      <x:c r="G2" s="12" t="str">
        <x:v>unlock_conditions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int / 必填 / both</x:v>
      </x:c>
      <x:c r="F3" s="15" t="str">
        <x:v>int / 必填 / both</x:v>
      </x:c>
      <x:c r="G3" s="15" t="str">
        <x:v>json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/>
      <x:c r="B4" s="17"/>
      <x:c r="C4" s="17"/>
      <x:c r="D4" s="16"/>
      <x:c r="E4" s="16"/>
      <x:c r="F4" s="16"/>
      <x:c r="G4" s="17"/>
      <x:c r="H4" s="17"/>
      <x:c r="I4" s="18"/>
      <x:c r="J4" s="18"/>
    </x:row>
    <x:row r="5" ht="15" hidden="0" customHeight="1">
      <x:c r="A5" s="19"/>
      <x:c r="B5" s="17"/>
      <x:c r="C5" s="17"/>
      <x:c r="D5" s="16"/>
      <x:c r="E5" s="16"/>
      <x:c r="F5" s="16"/>
      <x:c r="G5" s="17"/>
      <x:c r="H5" s="17"/>
      <x:c r="I5" s="18"/>
      <x:c r="J5" s="18"/>
    </x:row>
    <x:row r="6" ht="15" hidden="0" customHeight="1">
      <x:c r="A6" s="19"/>
      <x:c r="B6" s="17"/>
      <x:c r="C6" s="17"/>
      <x:c r="D6" s="16"/>
      <x:c r="E6" s="16"/>
      <x:c r="F6" s="16"/>
      <x:c r="G6" s="17"/>
      <x:c r="H6" s="17"/>
      <x:c r="I6" s="18"/>
      <x:c r="J6" s="18"/>
    </x:row>
    <x:row r="7" ht="15" hidden="0" customHeight="1">
      <x:c r="A7" s="19"/>
      <x:c r="B7" s="17"/>
      <x:c r="C7" s="17"/>
      <x:c r="D7" s="16"/>
      <x:c r="E7" s="16"/>
      <x:c r="F7" s="16"/>
      <x:c r="G7" s="17"/>
      <x:c r="H7" s="17"/>
      <x:c r="I7" s="18"/>
      <x:c r="J7" s="18"/>
    </x:row>
    <x:row r="8" ht="15" hidden="0" customHeight="1">
      <x:c r="A8" s="19"/>
      <x:c r="B8" s="17"/>
      <x:c r="C8" s="17"/>
      <x:c r="D8" s="16"/>
      <x:c r="E8" s="16"/>
      <x:c r="F8" s="16"/>
      <x:c r="G8" s="17"/>
      <x:c r="H8" s="17"/>
      <x:c r="I8" s="18"/>
      <x:c r="J8" s="18"/>
    </x:row>
    <x:row r="9" ht="15" hidden="0" customHeight="1">
      <x:c r="A9" s="19"/>
      <x:c r="B9" s="17"/>
      <x:c r="C9" s="17"/>
      <x:c r="D9" s="16"/>
      <x:c r="E9" s="16"/>
      <x:c r="F9" s="16"/>
      <x:c r="G9" s="17"/>
      <x:c r="H9" s="17"/>
      <x:c r="I9" s="18"/>
      <x:c r="J9" s="18"/>
    </x:row>
  </x:sheetData>
  <x:conditionalFormatting sqref="A4:A1003">
    <x:cfRule type="expression" dxfId="706" priority="1">
      <x:formula>AND($A4&lt;&gt;"",ISBLANK(A4))</x:formula>
    </x:cfRule>
  </x:conditionalFormatting>
  <x:conditionalFormatting sqref="B4:B1003">
    <x:cfRule type="expression" dxfId="707" priority="2">
      <x:formula>AND($A4&lt;&gt;"",ISBLANK(B4))</x:formula>
    </x:cfRule>
  </x:conditionalFormatting>
  <x:conditionalFormatting sqref="C4:C1003">
    <x:cfRule type="expression" dxfId="708" priority="3">
      <x:formula>AND($A4&lt;&gt;"",ISBLANK(C4))</x:formula>
    </x:cfRule>
  </x:conditionalFormatting>
  <x:conditionalFormatting sqref="D4:D1003">
    <x:cfRule type="expression" dxfId="709" priority="4">
      <x:formula>AND($A4&lt;&gt;"",ISBLANK(D4))</x:formula>
    </x:cfRule>
  </x:conditionalFormatting>
  <x:conditionalFormatting sqref="E4:E1003">
    <x:cfRule type="expression" dxfId="710" priority="5">
      <x:formula>AND($A4&lt;&gt;"",ISBLANK(E4))</x:formula>
    </x:cfRule>
  </x:conditionalFormatting>
  <x:conditionalFormatting sqref="F4:F1003">
    <x:cfRule type="expression" dxfId="711" priority="6">
      <x:formula>AND($A4&lt;&gt;"",ISBLANK(F4))</x:formula>
    </x:cfRule>
  </x:conditionalFormatting>
  <x:conditionalFormatting sqref="G4:G1003">
    <x:cfRule type="expression" dxfId="712" priority="7">
      <x:formula>AND($A4&lt;&gt;"",ISBLANK(G4))</x:formula>
    </x:cfRule>
  </x:conditionalFormatting>
  <x:conditionalFormatting sqref="H4:H1003">
    <x:cfRule type="containsText" dxfId="713" priority="8" operator="containsText" text="candidate"/>
    <x:cfRule type="containsText" dxfId="714" priority="9" operator="containsText" text="unverified"/>
    <x:cfRule type="containsText" dxfId="715" priority="10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54" hidden="0" customWidth="1"/>
    <x:col min="4" max="4" width="19" hidden="0" customWidth="1"/>
    <x:col min="5" max="5" width="18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成就键</x:v>
      </x:c>
      <x:c r="C1" s="7" t="str">
        <x:v>目标事件</x:v>
      </x:c>
      <x:c r="D1" s="7" t="str">
        <x:v>阈值</x:v>
      </x:c>
      <x:c r="E1" s="7" t="str">
        <x:v>奖励组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achievement_key</x:v>
      </x:c>
      <x:c r="C2" s="12" t="str">
        <x:v>objective_events</x:v>
      </x:c>
      <x:c r="D2" s="12" t="str">
        <x:v>required_progress</x:v>
      </x:c>
      <x:c r="E2" s="12" t="str">
        <x:v>reward_group_id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server</x:v>
      </x:c>
      <x:c r="D3" s="15" t="str">
        <x:v>int / 必填 / both</x:v>
      </x:c>
      <x:c r="E3" s="15" t="str">
        <x:v>int / 必填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/>
      <x:c r="B4" s="17"/>
      <x:c r="C4" s="17"/>
      <x:c r="D4" s="16"/>
      <x:c r="E4" s="16"/>
      <x:c r="F4" s="17"/>
      <x:c r="G4" s="18"/>
      <x:c r="H4" s="18"/>
    </x:row>
    <x:row r="5" ht="15" hidden="0" customHeight="1">
      <x:c r="A5" s="19"/>
      <x:c r="B5" s="17"/>
      <x:c r="C5" s="17"/>
      <x:c r="D5" s="16"/>
      <x:c r="E5" s="16"/>
      <x:c r="F5" s="17"/>
      <x:c r="G5" s="18"/>
      <x:c r="H5" s="18"/>
    </x:row>
    <x:row r="6" ht="15" hidden="0" customHeight="1">
      <x:c r="A6" s="19"/>
      <x:c r="B6" s="17"/>
      <x:c r="C6" s="17"/>
      <x:c r="D6" s="16"/>
      <x:c r="E6" s="16"/>
      <x:c r="F6" s="17"/>
      <x:c r="G6" s="18"/>
      <x:c r="H6" s="18"/>
    </x:row>
    <x:row r="7" ht="15" hidden="0" customHeight="1">
      <x:c r="A7" s="19"/>
      <x:c r="B7" s="17"/>
      <x:c r="C7" s="17"/>
      <x:c r="D7" s="16"/>
      <x:c r="E7" s="16"/>
      <x:c r="F7" s="17"/>
      <x:c r="G7" s="18"/>
      <x:c r="H7" s="18"/>
    </x:row>
    <x:row r="8" ht="15" hidden="0" customHeight="1">
      <x:c r="A8" s="19"/>
      <x:c r="B8" s="17"/>
      <x:c r="C8" s="17"/>
      <x:c r="D8" s="16"/>
      <x:c r="E8" s="16"/>
      <x:c r="F8" s="17"/>
      <x:c r="G8" s="18"/>
      <x:c r="H8" s="18"/>
    </x:row>
    <x:row r="9" ht="15" hidden="0" customHeight="1">
      <x:c r="A9" s="19"/>
      <x:c r="B9" s="17"/>
      <x:c r="C9" s="17"/>
      <x:c r="D9" s="16"/>
      <x:c r="E9" s="16"/>
      <x:c r="F9" s="17"/>
      <x:c r="G9" s="18"/>
      <x:c r="H9" s="18"/>
    </x:row>
  </x:sheetData>
  <x:conditionalFormatting sqref="A4:A1003">
    <x:cfRule type="expression" dxfId="716" priority="1">
      <x:formula>AND($A4&lt;&gt;"",ISBLANK(A4))</x:formula>
    </x:cfRule>
  </x:conditionalFormatting>
  <x:conditionalFormatting sqref="B4:B1003">
    <x:cfRule type="expression" dxfId="717" priority="2">
      <x:formula>AND($A4&lt;&gt;"",ISBLANK(B4))</x:formula>
    </x:cfRule>
  </x:conditionalFormatting>
  <x:conditionalFormatting sqref="C4:C1003">
    <x:cfRule type="expression" dxfId="718" priority="3">
      <x:formula>AND($A4&lt;&gt;"",ISBLANK(C4))</x:formula>
    </x:cfRule>
  </x:conditionalFormatting>
  <x:conditionalFormatting sqref="D4:D1003">
    <x:cfRule type="expression" dxfId="719" priority="4">
      <x:formula>AND($A4&lt;&gt;"",ISBLANK(D4))</x:formula>
    </x:cfRule>
  </x:conditionalFormatting>
  <x:conditionalFormatting sqref="E4:E1003">
    <x:cfRule type="expression" dxfId="720" priority="5">
      <x:formula>AND($A4&lt;&gt;"",ISBLANK(E4))</x:formula>
    </x:cfRule>
  </x:conditionalFormatting>
  <x:conditionalFormatting sqref="F4:F1003">
    <x:cfRule type="containsText" dxfId="721" priority="6" operator="containsText" text="candidate"/>
    <x:cfRule type="containsText" dxfId="722" priority="7" operator="containsText" text="unverified"/>
    <x:cfRule type="containsText" dxfId="723" priority="8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8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54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怪物唯一ID</x:v>
      </x:c>
      <x:c r="C1" s="7" t="str">
        <x:v>地图分组</x:v>
      </x:c>
      <x:c r="D1" s="7" t="str">
        <x:v>击杀门槛</x:v>
      </x:c>
      <x:c r="E1" s="7" t="str">
        <x:v>计数参与资格</x:v>
      </x:c>
      <x:c r="F1" s="7" t="str">
        <x:v>奖励组</x:v>
      </x:c>
      <x:c r="G1" s="7" t="str">
        <x:v>预算内属性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monster_id</x:v>
      </x:c>
      <x:c r="C2" s="12" t="str">
        <x:v>map_group_id</x:v>
      </x:c>
      <x:c r="D2" s="12" t="str">
        <x:v>required_kills</x:v>
      </x:c>
      <x:c r="E2" s="12" t="str">
        <x:v>qualification_rule</x:v>
      </x:c>
      <x:c r="F2" s="12" t="str">
        <x:v>reward_group_id</x:v>
      </x:c>
      <x:c r="G2" s="12" t="str">
        <x:v>budgeted_attributes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string / 必填 / both</x:v>
      </x:c>
      <x:c r="F3" s="15" t="str">
        <x:v>int / 必填 / both</x:v>
      </x:c>
      <x:c r="G3" s="15" t="str">
        <x:v>json / 可空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/>
      <x:c r="B4" s="16"/>
      <x:c r="C4" s="16"/>
      <x:c r="D4" s="16"/>
      <x:c r="E4" s="17"/>
      <x:c r="F4" s="16"/>
      <x:c r="G4" s="17"/>
      <x:c r="H4" s="17"/>
      <x:c r="I4" s="18"/>
      <x:c r="J4" s="18"/>
    </x:row>
    <x:row r="5" ht="15" hidden="0" customHeight="1">
      <x:c r="A5" s="19"/>
      <x:c r="B5" s="16"/>
      <x:c r="C5" s="16"/>
      <x:c r="D5" s="16"/>
      <x:c r="E5" s="17"/>
      <x:c r="F5" s="16"/>
      <x:c r="G5" s="17"/>
      <x:c r="H5" s="17"/>
      <x:c r="I5" s="18"/>
      <x:c r="J5" s="18"/>
    </x:row>
    <x:row r="6" ht="15" hidden="0" customHeight="1">
      <x:c r="A6" s="19"/>
      <x:c r="B6" s="16"/>
      <x:c r="C6" s="16"/>
      <x:c r="D6" s="16"/>
      <x:c r="E6" s="17"/>
      <x:c r="F6" s="16"/>
      <x:c r="G6" s="17"/>
      <x:c r="H6" s="17"/>
      <x:c r="I6" s="18"/>
      <x:c r="J6" s="18"/>
    </x:row>
    <x:row r="7" ht="15" hidden="0" customHeight="1">
      <x:c r="A7" s="19"/>
      <x:c r="B7" s="16"/>
      <x:c r="C7" s="16"/>
      <x:c r="D7" s="16"/>
      <x:c r="E7" s="17"/>
      <x:c r="F7" s="16"/>
      <x:c r="G7" s="17"/>
      <x:c r="H7" s="17"/>
      <x:c r="I7" s="18"/>
      <x:c r="J7" s="18"/>
    </x:row>
    <x:row r="8" ht="15" hidden="0" customHeight="1">
      <x:c r="A8" s="19"/>
      <x:c r="B8" s="16"/>
      <x:c r="C8" s="16"/>
      <x:c r="D8" s="16"/>
      <x:c r="E8" s="17"/>
      <x:c r="F8" s="16"/>
      <x:c r="G8" s="17"/>
      <x:c r="H8" s="17"/>
      <x:c r="I8" s="18"/>
      <x:c r="J8" s="18"/>
    </x:row>
    <x:row r="9" ht="15" hidden="0" customHeight="1">
      <x:c r="A9" s="19"/>
      <x:c r="B9" s="16"/>
      <x:c r="C9" s="16"/>
      <x:c r="D9" s="16"/>
      <x:c r="E9" s="17"/>
      <x:c r="F9" s="16"/>
      <x:c r="G9" s="17"/>
      <x:c r="H9" s="17"/>
      <x:c r="I9" s="18"/>
      <x:c r="J9" s="18"/>
    </x:row>
  </x:sheetData>
  <x:conditionalFormatting sqref="A4:A1003">
    <x:cfRule type="expression" dxfId="724" priority="1">
      <x:formula>AND($A4&lt;&gt;"",ISBLANK(A4))</x:formula>
    </x:cfRule>
  </x:conditionalFormatting>
  <x:conditionalFormatting sqref="B4:B1003">
    <x:cfRule type="expression" dxfId="725" priority="2">
      <x:formula>AND($A4&lt;&gt;"",ISBLANK(B4))</x:formula>
    </x:cfRule>
  </x:conditionalFormatting>
  <x:conditionalFormatting sqref="C4:C1003">
    <x:cfRule type="expression" dxfId="726" priority="3">
      <x:formula>AND($A4&lt;&gt;"",ISBLANK(C4))</x:formula>
    </x:cfRule>
  </x:conditionalFormatting>
  <x:conditionalFormatting sqref="D4:D1003">
    <x:cfRule type="expression" dxfId="727" priority="4">
      <x:formula>AND($A4&lt;&gt;"",ISBLANK(D4))</x:formula>
    </x:cfRule>
  </x:conditionalFormatting>
  <x:conditionalFormatting sqref="E4:E1003">
    <x:cfRule type="expression" dxfId="728" priority="5">
      <x:formula>AND($A4&lt;&gt;"",ISBLANK(E4))</x:formula>
    </x:cfRule>
  </x:conditionalFormatting>
  <x:conditionalFormatting sqref="F4:F1003">
    <x:cfRule type="expression" dxfId="729" priority="6">
      <x:formula>AND($A4&lt;&gt;"",ISBLANK(F4))</x:formula>
    </x:cfRule>
  </x:conditionalFormatting>
  <x:conditionalFormatting sqref="H4:H1003">
    <x:cfRule type="containsText" dxfId="730" priority="7" operator="containsText" text="candidate"/>
    <x:cfRule type="containsText" dxfId="731" priority="8" operator="containsText" text="unverified"/>
    <x:cfRule type="containsText" dxfId="732" priority="9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8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3" hidden="0" customWidth="1"/>
    <x:col min="6" max="6" width="18" hidden="0" customWidth="1"/>
    <x:col min="7" max="7" width="26" hidden="0" customWidth="1"/>
    <x:col min="8" max="8" width="54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魂兽类型</x:v>
      </x:c>
      <x:c r="C1" s="7" t="str">
        <x:v>星级</x:v>
      </x:c>
      <x:c r="D1" s="7" t="str">
        <x:v>累计分解价值D</x:v>
      </x:c>
      <x:c r="E1" s="7" t="str">
        <x:v>升星增量C</x:v>
      </x:c>
      <x:c r="F1" s="7" t="str">
        <x:v>未拥有1星合成价</x:v>
      </x:c>
      <x:c r="G1" s="7" t="str">
        <x:v>重复折片</x:v>
      </x:c>
      <x:c r="H1" s="7" t="str">
        <x:v>预算内星级属性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soul_type_id</x:v>
      </x:c>
      <x:c r="C2" s="12" t="str">
        <x:v>star</x:v>
      </x:c>
      <x:c r="D2" s="12" t="str">
        <x:v>decompose_value</x:v>
      </x:c>
      <x:c r="E2" s="12" t="str">
        <x:v>upgrade_fragment_cost</x:v>
      </x:c>
      <x:c r="F2" s="12" t="str">
        <x:v>synthesis_cost</x:v>
      </x:c>
      <x:c r="G2" s="12" t="str">
        <x:v>duplicate_fragment_value</x:v>
      </x:c>
      <x:c r="H2" s="12" t="str">
        <x:v>attribute_values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int / 可空 / both</x:v>
      </x:c>
      <x:c r="G3" s="15" t="str">
        <x:v>int / 必填 / both</x:v>
      </x:c>
      <x:c r="H3" s="15" t="str">
        <x:v>json / 必填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/>
      <x:c r="B4" s="16"/>
      <x:c r="C4" s="16"/>
      <x:c r="D4" s="16"/>
      <x:c r="E4" s="16"/>
      <x:c r="F4" s="16"/>
      <x:c r="G4" s="16"/>
      <x:c r="H4" s="17"/>
      <x:c r="I4" s="17"/>
      <x:c r="J4" s="18"/>
      <x:c r="K4" s="18"/>
    </x:row>
    <x:row r="5" ht="15" hidden="0" customHeight="1">
      <x:c r="A5" s="19"/>
      <x:c r="B5" s="16"/>
      <x:c r="C5" s="16"/>
      <x:c r="D5" s="16"/>
      <x:c r="E5" s="16"/>
      <x:c r="F5" s="16"/>
      <x:c r="G5" s="16"/>
      <x:c r="H5" s="17"/>
      <x:c r="I5" s="17"/>
      <x:c r="J5" s="18"/>
      <x:c r="K5" s="18"/>
    </x:row>
    <x:row r="6" ht="15" hidden="0" customHeight="1">
      <x:c r="A6" s="19"/>
      <x:c r="B6" s="16"/>
      <x:c r="C6" s="16"/>
      <x:c r="D6" s="16"/>
      <x:c r="E6" s="16"/>
      <x:c r="F6" s="16"/>
      <x:c r="G6" s="16"/>
      <x:c r="H6" s="17"/>
      <x:c r="I6" s="17"/>
      <x:c r="J6" s="18"/>
      <x:c r="K6" s="18"/>
    </x:row>
    <x:row r="7" ht="15" hidden="0" customHeight="1">
      <x:c r="A7" s="19"/>
      <x:c r="B7" s="16"/>
      <x:c r="C7" s="16"/>
      <x:c r="D7" s="16"/>
      <x:c r="E7" s="16"/>
      <x:c r="F7" s="16"/>
      <x:c r="G7" s="16"/>
      <x:c r="H7" s="17"/>
      <x:c r="I7" s="17"/>
      <x:c r="J7" s="18"/>
      <x:c r="K7" s="18"/>
    </x:row>
    <x:row r="8" ht="15" hidden="0" customHeight="1">
      <x:c r="A8" s="19"/>
      <x:c r="B8" s="16"/>
      <x:c r="C8" s="16"/>
      <x:c r="D8" s="16"/>
      <x:c r="E8" s="16"/>
      <x:c r="F8" s="16"/>
      <x:c r="G8" s="16"/>
      <x:c r="H8" s="17"/>
      <x:c r="I8" s="17"/>
      <x:c r="J8" s="18"/>
      <x:c r="K8" s="18"/>
    </x:row>
    <x:row r="9" ht="15" hidden="0" customHeight="1">
      <x:c r="A9" s="19"/>
      <x:c r="B9" s="16"/>
      <x:c r="C9" s="16"/>
      <x:c r="D9" s="16"/>
      <x:c r="E9" s="16"/>
      <x:c r="F9" s="16"/>
      <x:c r="G9" s="16"/>
      <x:c r="H9" s="17"/>
      <x:c r="I9" s="17"/>
      <x:c r="J9" s="18"/>
      <x:c r="K9" s="18"/>
    </x:row>
  </x:sheetData>
  <x:conditionalFormatting sqref="A4:A1003">
    <x:cfRule type="expression" dxfId="733" priority="1">
      <x:formula>AND($A4&lt;&gt;"",ISBLANK(A4))</x:formula>
    </x:cfRule>
  </x:conditionalFormatting>
  <x:conditionalFormatting sqref="B4:B1003">
    <x:cfRule type="expression" dxfId="734" priority="2">
      <x:formula>AND($A4&lt;&gt;"",ISBLANK(B4))</x:formula>
    </x:cfRule>
  </x:conditionalFormatting>
  <x:conditionalFormatting sqref="C4:C1003">
    <x:cfRule type="expression" dxfId="735" priority="3">
      <x:formula>AND($A4&lt;&gt;"",ISBLANK(C4))</x:formula>
    </x:cfRule>
  </x:conditionalFormatting>
  <x:conditionalFormatting sqref="D4:D1003">
    <x:cfRule type="expression" dxfId="736" priority="4">
      <x:formula>AND($A4&lt;&gt;"",ISBLANK(D4))</x:formula>
    </x:cfRule>
  </x:conditionalFormatting>
  <x:conditionalFormatting sqref="E4:E1003">
    <x:cfRule type="expression" dxfId="737" priority="5">
      <x:formula>AND($A4&lt;&gt;"",ISBLANK(E4))</x:formula>
    </x:cfRule>
  </x:conditionalFormatting>
  <x:conditionalFormatting sqref="G4:G1003">
    <x:cfRule type="expression" dxfId="738" priority="6">
      <x:formula>AND($A4&lt;&gt;"",ISBLANK(G4))</x:formula>
    </x:cfRule>
  </x:conditionalFormatting>
  <x:conditionalFormatting sqref="H4:H1003">
    <x:cfRule type="expression" dxfId="739" priority="7">
      <x:formula>AND($A4&lt;&gt;"",ISBLANK(H4))</x:formula>
    </x:cfRule>
  </x:conditionalFormatting>
  <x:conditionalFormatting sqref="I4:I1003">
    <x:cfRule type="containsText" dxfId="740" priority="8" operator="containsText" text="candidate"/>
    <x:cfRule type="containsText" dxfId="741" priority="9" operator="containsText" text="unverified"/>
    <x:cfRule type="containsText" dxfId="742" priority="10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8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54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目标等级</x:v>
      </x:c>
      <x:c r="C1" s="7" t="str">
        <x:v>本级碎片消耗</x:v>
      </x:c>
      <x:c r="D1" s="7" t="str">
        <x:v>三职业预算属性</x:v>
      </x:c>
      <x:c r="E1" s="7" t="str">
        <x:v>经验直接金等便利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level</x:v>
      </x:c>
      <x:c r="C2" s="12" t="str">
        <x:v>fragment_cost</x:v>
      </x:c>
      <x:c r="D2" s="12" t="str">
        <x:v>class_attributes</x:v>
      </x:c>
      <x:c r="E2" s="12" t="str">
        <x:v>convenience_effects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json / 必填 / both</x:v>
      </x:c>
      <x:c r="E3" s="15" t="str">
        <x:v>json / 可空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/>
      <x:c r="B4" s="16"/>
      <x:c r="C4" s="16"/>
      <x:c r="D4" s="17"/>
      <x:c r="E4" s="17"/>
      <x:c r="F4" s="17"/>
      <x:c r="G4" s="18"/>
      <x:c r="H4" s="18"/>
    </x:row>
    <x:row r="5" ht="15" hidden="0" customHeight="1">
      <x:c r="A5" s="19"/>
      <x:c r="B5" s="16"/>
      <x:c r="C5" s="16"/>
      <x:c r="D5" s="17"/>
      <x:c r="E5" s="17"/>
      <x:c r="F5" s="17"/>
      <x:c r="G5" s="18"/>
      <x:c r="H5" s="18"/>
    </x:row>
    <x:row r="6" ht="15" hidden="0" customHeight="1">
      <x:c r="A6" s="19"/>
      <x:c r="B6" s="16"/>
      <x:c r="C6" s="16"/>
      <x:c r="D6" s="17"/>
      <x:c r="E6" s="17"/>
      <x:c r="F6" s="17"/>
      <x:c r="G6" s="18"/>
      <x:c r="H6" s="18"/>
    </x:row>
    <x:row r="7" ht="15" hidden="0" customHeight="1">
      <x:c r="A7" s="19"/>
      <x:c r="B7" s="16"/>
      <x:c r="C7" s="16"/>
      <x:c r="D7" s="17"/>
      <x:c r="E7" s="17"/>
      <x:c r="F7" s="17"/>
      <x:c r="G7" s="18"/>
      <x:c r="H7" s="18"/>
    </x:row>
    <x:row r="8" ht="15" hidden="0" customHeight="1">
      <x:c r="A8" s="19"/>
      <x:c r="B8" s="16"/>
      <x:c r="C8" s="16"/>
      <x:c r="D8" s="17"/>
      <x:c r="E8" s="17"/>
      <x:c r="F8" s="17"/>
      <x:c r="G8" s="18"/>
      <x:c r="H8" s="18"/>
    </x:row>
    <x:row r="9" ht="15" hidden="0" customHeight="1">
      <x:c r="A9" s="19"/>
      <x:c r="B9" s="16"/>
      <x:c r="C9" s="16"/>
      <x:c r="D9" s="17"/>
      <x:c r="E9" s="17"/>
      <x:c r="F9" s="17"/>
      <x:c r="G9" s="18"/>
      <x:c r="H9" s="18"/>
    </x:row>
  </x:sheetData>
  <x:conditionalFormatting sqref="A4:A1003">
    <x:cfRule type="expression" dxfId="743" priority="1">
      <x:formula>AND($A4&lt;&gt;"",ISBLANK(A4))</x:formula>
    </x:cfRule>
  </x:conditionalFormatting>
  <x:conditionalFormatting sqref="B4:B1003">
    <x:cfRule type="expression" dxfId="744" priority="2">
      <x:formula>AND($A4&lt;&gt;"",ISBLANK(B4))</x:formula>
    </x:cfRule>
  </x:conditionalFormatting>
  <x:conditionalFormatting sqref="C4:C1003">
    <x:cfRule type="expression" dxfId="745" priority="3">
      <x:formula>AND($A4&lt;&gt;"",ISBLANK(C4))</x:formula>
    </x:cfRule>
  </x:conditionalFormatting>
  <x:conditionalFormatting sqref="D4:D1003">
    <x:cfRule type="expression" dxfId="746" priority="4">
      <x:formula>AND($A4&lt;&gt;"",ISBLANK(D4))</x:formula>
    </x:cfRule>
  </x:conditionalFormatting>
  <x:conditionalFormatting sqref="F4:F1003">
    <x:cfRule type="containsText" dxfId="747" priority="5" operator="containsText" text="candidate"/>
    <x:cfRule type="containsText" dxfId="748" priority="6" operator="containsText" text="unverified"/>
    <x:cfRule type="containsText" dxfId="749" priority="7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8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54" hidden="0" customWidth="1"/>
    <x:col min="6" max="6" width="54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奖励组键</x:v>
      </x:c>
      <x:c r="C1" s="7" t="str">
        <x:v>来源</x:v>
      </x:c>
      <x:c r="D1" s="7" t="str">
        <x:v>来源绑定规则</x:v>
      </x:c>
      <x:c r="E1" s="7" t="str">
        <x:v>资格条件</x:v>
      </x:c>
      <x:c r="F1" s="7" t="str">
        <x:v>发放预算时间窗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reward_group_key</x:v>
      </x:c>
      <x:c r="C2" s="12" t="str">
        <x:v>source_kind</x:v>
      </x:c>
      <x:c r="D2" s="12" t="str">
        <x:v>binding_policy</x:v>
      </x:c>
      <x:c r="E2" s="12" t="str">
        <x:v>qualification</x:v>
      </x:c>
      <x:c r="F2" s="12" t="str">
        <x:v>budget_window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json / 必填 / server</x:v>
      </x:c>
      <x:c r="F3" s="15" t="str">
        <x:v>json / 可空 / server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/>
      <x:c r="B4" s="17"/>
      <x:c r="C4" s="17"/>
      <x:c r="D4" s="17"/>
      <x:c r="E4" s="17"/>
      <x:c r="F4" s="17"/>
      <x:c r="G4" s="17"/>
      <x:c r="H4" s="18"/>
      <x:c r="I4" s="18"/>
    </x:row>
    <x:row r="5" ht="15" hidden="0" customHeight="1">
      <x:c r="A5" s="19"/>
      <x:c r="B5" s="17"/>
      <x:c r="C5" s="17"/>
      <x:c r="D5" s="17"/>
      <x:c r="E5" s="17"/>
      <x:c r="F5" s="17"/>
      <x:c r="G5" s="17"/>
      <x:c r="H5" s="18"/>
      <x:c r="I5" s="18"/>
    </x:row>
    <x:row r="6" ht="15" hidden="0" customHeight="1">
      <x:c r="A6" s="19"/>
      <x:c r="B6" s="17"/>
      <x:c r="C6" s="17"/>
      <x:c r="D6" s="17"/>
      <x:c r="E6" s="17"/>
      <x:c r="F6" s="17"/>
      <x:c r="G6" s="17"/>
      <x:c r="H6" s="18"/>
      <x:c r="I6" s="18"/>
    </x:row>
    <x:row r="7" ht="15" hidden="0" customHeight="1">
      <x:c r="A7" s="19"/>
      <x:c r="B7" s="17"/>
      <x:c r="C7" s="17"/>
      <x:c r="D7" s="17"/>
      <x:c r="E7" s="17"/>
      <x:c r="F7" s="17"/>
      <x:c r="G7" s="17"/>
      <x:c r="H7" s="18"/>
      <x:c r="I7" s="18"/>
    </x:row>
    <x:row r="8" ht="15" hidden="0" customHeight="1">
      <x:c r="A8" s="19"/>
      <x:c r="B8" s="17"/>
      <x:c r="C8" s="17"/>
      <x:c r="D8" s="17"/>
      <x:c r="E8" s="17"/>
      <x:c r="F8" s="17"/>
      <x:c r="G8" s="17"/>
      <x:c r="H8" s="18"/>
      <x:c r="I8" s="18"/>
    </x:row>
    <x:row r="9" ht="15" hidden="0" customHeight="1">
      <x:c r="A9" s="19"/>
      <x:c r="B9" s="17"/>
      <x:c r="C9" s="17"/>
      <x:c r="D9" s="17"/>
      <x:c r="E9" s="17"/>
      <x:c r="F9" s="17"/>
      <x:c r="G9" s="17"/>
      <x:c r="H9" s="18"/>
      <x:c r="I9" s="18"/>
    </x:row>
  </x:sheetData>
  <x:conditionalFormatting sqref="A4:A1003">
    <x:cfRule type="expression" dxfId="750" priority="1">
      <x:formula>AND($A4&lt;&gt;"",ISBLANK(A4))</x:formula>
    </x:cfRule>
  </x:conditionalFormatting>
  <x:conditionalFormatting sqref="B4:B1003">
    <x:cfRule type="expression" dxfId="751" priority="2">
      <x:formula>AND($A4&lt;&gt;"",ISBLANK(B4))</x:formula>
    </x:cfRule>
  </x:conditionalFormatting>
  <x:conditionalFormatting sqref="C4:C1003">
    <x:cfRule type="expression" dxfId="752" priority="3">
      <x:formula>AND($A4&lt;&gt;"",ISBLANK(C4))</x:formula>
    </x:cfRule>
  </x:conditionalFormatting>
  <x:conditionalFormatting sqref="D4:D1003">
    <x:cfRule type="expression" dxfId="753" priority="4">
      <x:formula>AND($A4&lt;&gt;"",ISBLANK(D4))</x:formula>
    </x:cfRule>
  </x:conditionalFormatting>
  <x:conditionalFormatting sqref="E4:E1003">
    <x:cfRule type="expression" dxfId="754" priority="5">
      <x:formula>AND($A4&lt;&gt;"",ISBLANK(E4))</x:formula>
    </x:cfRule>
  </x:conditionalFormatting>
  <x:conditionalFormatting sqref="G4:G1003">
    <x:cfRule type="containsText" dxfId="755" priority="6" operator="containsText" text="candidate"/>
    <x:cfRule type="containsText" dxfId="756" priority="7" operator="containsText" text="unverified"/>
    <x:cfRule type="containsText" dxfId="757" priority="8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8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54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奖励组</x:v>
      </x:c>
      <x:c r="C1" s="7" t="str">
        <x:v>奖励材料/币种键</x:v>
      </x:c>
      <x:c r="D1" s="7" t="str">
        <x:v>整数数量分布</x:v>
      </x:c>
      <x:c r="E1" s="7" t="str">
        <x:v>权重概率口径</x:v>
      </x:c>
      <x:c r="F1" s="7" t="str">
        <x:v>明确来源绑定覆盖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reward_group_id</x:v>
      </x:c>
      <x:c r="C2" s="12" t="str">
        <x:v>asset_key</x:v>
      </x:c>
      <x:c r="D2" s="12" t="str">
        <x:v>quantity_distribution</x:v>
      </x:c>
      <x:c r="E2" s="12" t="str">
        <x:v>weight_or_probability</x:v>
      </x:c>
      <x:c r="F2" s="12" t="str">
        <x:v>binding_override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string / 必填 / both</x:v>
      </x:c>
      <x:c r="D3" s="15" t="str">
        <x:v>json / 必填 / server</x:v>
      </x:c>
      <x:c r="E3" s="15" t="str">
        <x:v>json / 必填 / server</x:v>
      </x:c>
      <x:c r="F3" s="15" t="str">
        <x:v>string / 可空 / server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/>
      <x:c r="B4" s="16"/>
      <x:c r="C4" s="17"/>
      <x:c r="D4" s="17"/>
      <x:c r="E4" s="17"/>
      <x:c r="F4" s="17"/>
      <x:c r="G4" s="17"/>
      <x:c r="H4" s="18"/>
      <x:c r="I4" s="18"/>
    </x:row>
    <x:row r="5" ht="15" hidden="0" customHeight="1">
      <x:c r="A5" s="19"/>
      <x:c r="B5" s="16"/>
      <x:c r="C5" s="17"/>
      <x:c r="D5" s="17"/>
      <x:c r="E5" s="17"/>
      <x:c r="F5" s="17"/>
      <x:c r="G5" s="17"/>
      <x:c r="H5" s="18"/>
      <x:c r="I5" s="18"/>
    </x:row>
    <x:row r="6" ht="15" hidden="0" customHeight="1">
      <x:c r="A6" s="19"/>
      <x:c r="B6" s="16"/>
      <x:c r="C6" s="17"/>
      <x:c r="D6" s="17"/>
      <x:c r="E6" s="17"/>
      <x:c r="F6" s="17"/>
      <x:c r="G6" s="17"/>
      <x:c r="H6" s="18"/>
      <x:c r="I6" s="18"/>
    </x:row>
    <x:row r="7" ht="15" hidden="0" customHeight="1">
      <x:c r="A7" s="19"/>
      <x:c r="B7" s="16"/>
      <x:c r="C7" s="17"/>
      <x:c r="D7" s="17"/>
      <x:c r="E7" s="17"/>
      <x:c r="F7" s="17"/>
      <x:c r="G7" s="17"/>
      <x:c r="H7" s="18"/>
      <x:c r="I7" s="18"/>
    </x:row>
    <x:row r="8" ht="15" hidden="0" customHeight="1">
      <x:c r="A8" s="19"/>
      <x:c r="B8" s="16"/>
      <x:c r="C8" s="17"/>
      <x:c r="D8" s="17"/>
      <x:c r="E8" s="17"/>
      <x:c r="F8" s="17"/>
      <x:c r="G8" s="17"/>
      <x:c r="H8" s="18"/>
      <x:c r="I8" s="18"/>
    </x:row>
    <x:row r="9" ht="15" hidden="0" customHeight="1">
      <x:c r="A9" s="19"/>
      <x:c r="B9" s="16"/>
      <x:c r="C9" s="17"/>
      <x:c r="D9" s="17"/>
      <x:c r="E9" s="17"/>
      <x:c r="F9" s="17"/>
      <x:c r="G9" s="17"/>
      <x:c r="H9" s="18"/>
      <x:c r="I9" s="18"/>
    </x:row>
  </x:sheetData>
  <x:conditionalFormatting sqref="A4:A1003">
    <x:cfRule type="expression" dxfId="758" priority="1">
      <x:formula>AND($A4&lt;&gt;"",ISBLANK(A4))</x:formula>
    </x:cfRule>
  </x:conditionalFormatting>
  <x:conditionalFormatting sqref="B4:B1003">
    <x:cfRule type="expression" dxfId="759" priority="2">
      <x:formula>AND($A4&lt;&gt;"",ISBLANK(B4))</x:formula>
    </x:cfRule>
  </x:conditionalFormatting>
  <x:conditionalFormatting sqref="C4:C1003">
    <x:cfRule type="expression" dxfId="760" priority="3">
      <x:formula>AND($A4&lt;&gt;"",ISBLANK(C4))</x:formula>
    </x:cfRule>
  </x:conditionalFormatting>
  <x:conditionalFormatting sqref="D4:D1003">
    <x:cfRule type="expression" dxfId="761" priority="4">
      <x:formula>AND($A4&lt;&gt;"",ISBLANK(D4))</x:formula>
    </x:cfRule>
  </x:conditionalFormatting>
  <x:conditionalFormatting sqref="E4:E1003">
    <x:cfRule type="expression" dxfId="762" priority="5">
      <x:formula>AND($A4&lt;&gt;"",ISBLANK(E4))</x:formula>
    </x:cfRule>
  </x:conditionalFormatting>
  <x:conditionalFormatting sqref="G4:G1003">
    <x:cfRule type="containsText" dxfId="763" priority="6" operator="containsText" text="candidate"/>
    <x:cfRule type="containsText" dxfId="764" priority="7" operator="containsText" text="unverified"/>
    <x:cfRule type="containsText" dxfId="765" priority="8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8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系统模板键</x:v>
      </x:c>
      <x:c r="C1" s="7" t="str">
        <x:v>标题</x:v>
      </x:c>
      <x:c r="D1" s="7" t="str">
        <x:v>正文</x:v>
      </x:c>
      <x:c r="E1" s="7" t="str">
        <x:v>附件奖励组</x:v>
      </x:c>
      <x:c r="F1" s="7" t="str">
        <x:v>领取有效期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template_key</x:v>
      </x:c>
      <x:c r="C2" s="12" t="str">
        <x:v>title</x:v>
      </x:c>
      <x:c r="D2" s="12" t="str">
        <x:v>body</x:v>
      </x:c>
      <x:c r="E2" s="12" t="str">
        <x:v>reward_group_id</x:v>
      </x:c>
      <x:c r="F2" s="12" t="str">
        <x:v>expiry_seconds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int / 可空 / both</x:v>
      </x:c>
      <x:c r="F3" s="15" t="str">
        <x:v>int / 可空 / server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/>
      <x:c r="B4" s="17"/>
      <x:c r="C4" s="17"/>
      <x:c r="D4" s="17"/>
      <x:c r="E4" s="16"/>
      <x:c r="F4" s="16"/>
      <x:c r="G4" s="17"/>
      <x:c r="H4" s="18"/>
      <x:c r="I4" s="18"/>
    </x:row>
    <x:row r="5" ht="15" hidden="0" customHeight="1">
      <x:c r="A5" s="19"/>
      <x:c r="B5" s="17"/>
      <x:c r="C5" s="17"/>
      <x:c r="D5" s="17"/>
      <x:c r="E5" s="16"/>
      <x:c r="F5" s="16"/>
      <x:c r="G5" s="17"/>
      <x:c r="H5" s="18"/>
      <x:c r="I5" s="18"/>
    </x:row>
    <x:row r="6" ht="15" hidden="0" customHeight="1">
      <x:c r="A6" s="19"/>
      <x:c r="B6" s="17"/>
      <x:c r="C6" s="17"/>
      <x:c r="D6" s="17"/>
      <x:c r="E6" s="16"/>
      <x:c r="F6" s="16"/>
      <x:c r="G6" s="17"/>
      <x:c r="H6" s="18"/>
      <x:c r="I6" s="18"/>
    </x:row>
    <x:row r="7" ht="15" hidden="0" customHeight="1">
      <x:c r="A7" s="19"/>
      <x:c r="B7" s="17"/>
      <x:c r="C7" s="17"/>
      <x:c r="D7" s="17"/>
      <x:c r="E7" s="16"/>
      <x:c r="F7" s="16"/>
      <x:c r="G7" s="17"/>
      <x:c r="H7" s="18"/>
      <x:c r="I7" s="18"/>
    </x:row>
    <x:row r="8" ht="15" hidden="0" customHeight="1">
      <x:c r="A8" s="19"/>
      <x:c r="B8" s="17"/>
      <x:c r="C8" s="17"/>
      <x:c r="D8" s="17"/>
      <x:c r="E8" s="16"/>
      <x:c r="F8" s="16"/>
      <x:c r="G8" s="17"/>
      <x:c r="H8" s="18"/>
      <x:c r="I8" s="18"/>
    </x:row>
    <x:row r="9" ht="15" hidden="0" customHeight="1">
      <x:c r="A9" s="19"/>
      <x:c r="B9" s="17"/>
      <x:c r="C9" s="17"/>
      <x:c r="D9" s="17"/>
      <x:c r="E9" s="16"/>
      <x:c r="F9" s="16"/>
      <x:c r="G9" s="17"/>
      <x:c r="H9" s="18"/>
      <x:c r="I9" s="18"/>
    </x:row>
  </x:sheetData>
  <x:conditionalFormatting sqref="A4:A1003">
    <x:cfRule type="expression" dxfId="766" priority="1">
      <x:formula>AND($A4&lt;&gt;"",ISBLANK(A4))</x:formula>
    </x:cfRule>
  </x:conditionalFormatting>
  <x:conditionalFormatting sqref="B4:B1003">
    <x:cfRule type="expression" dxfId="767" priority="2">
      <x:formula>AND($A4&lt;&gt;"",ISBLANK(B4))</x:formula>
    </x:cfRule>
  </x:conditionalFormatting>
  <x:conditionalFormatting sqref="C4:C1003">
    <x:cfRule type="expression" dxfId="768" priority="3">
      <x:formula>AND($A4&lt;&gt;"",ISBLANK(C4))</x:formula>
    </x:cfRule>
  </x:conditionalFormatting>
  <x:conditionalFormatting sqref="D4:D1003">
    <x:cfRule type="expression" dxfId="769" priority="4">
      <x:formula>AND($A4&lt;&gt;"",ISBLANK(D4))</x:formula>
    </x:cfRule>
  </x:conditionalFormatting>
  <x:conditionalFormatting sqref="G4:G1003">
    <x:cfRule type="containsText" dxfId="770" priority="5" operator="containsText" text="candidate"/>
    <x:cfRule type="containsText" dxfId="771" priority="6" operator="containsText" text="unverified"/>
    <x:cfRule type="containsText" dxfId="772" priority="7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8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9" hidden="0" customWidth="1"/>
    <x:col min="8" max="8" width="18" hidden="0" customWidth="1"/>
    <x:col min="9" max="9" width="18" hidden="0" customWidth="1"/>
    <x:col min="10" max="10" width="54" hidden="0" customWidth="1"/>
    <x:col min="11" max="11" width="18" hidden="0" customWidth="1"/>
    <x:col min="12" max="12" width="19" hidden="0" customWidth="1"/>
    <x:col min="13" max="13" width="18" hidden="0" customWidth="1"/>
    <x:col min="14" max="14" width="48" hidden="0" customWidth="1"/>
    <x:col min="15" max="15" width="70" hidden="0" customWidth="1"/>
  </x:cols>
  <x:sheetData>
    <x:row r="1" ht="30" customHeight="1">
      <x:c r="A1" s="7" t="str">
        <x:v>配置编号</x:v>
      </x:c>
      <x:c r="B1" s="7" t="str">
        <x:v>稳定属性键</x:v>
      </x:c>
      <x:c r="C1" s="7" t="str">
        <x:v>唯一单位</x:v>
      </x:c>
      <x:c r="D1" s="7" t="str">
        <x:v>整数定点精度</x:v>
      </x:c>
      <x:c r="E1" s="7" t="str">
        <x:v>来源</x:v>
      </x:c>
      <x:c r="F1" s="7" t="str">
        <x:v>作用对象</x:v>
      </x:c>
      <x:c r="G1" s="7" t="str">
        <x:v>结算阶段</x:v>
      </x:c>
      <x:c r="H1" s="7" t="str">
        <x:v>同类叠加组</x:v>
      </x:c>
      <x:c r="I1" s="7" t="str">
        <x:v>叠加方式</x:v>
      </x:c>
      <x:c r="J1" s="7" t="str">
        <x:v>软硬上限</x:v>
      </x:c>
      <x:c r="K1" s="7" t="str">
        <x:v>取整时点</x:v>
      </x:c>
      <x:c r="L1" s="7" t="str">
        <x:v>基础或本作扩展</x:v>
      </x:c>
      <x:c r="M1" s="7" t="str">
        <x:v>参数状态</x:v>
      </x:c>
      <x:c r="N1" s="7" t="str">
        <x:v>来源章节与行号</x:v>
      </x:c>
      <x:c r="O1" s="7" t="str">
        <x:v>说明</x:v>
      </x:c>
    </x:row>
    <x:row r="2" ht="30" customHeight="1">
      <x:c r="A2" s="12" t="str">
        <x:v>id</x:v>
      </x:c>
      <x:c r="B2" s="12" t="str">
        <x:v>attr_key</x:v>
      </x:c>
      <x:c r="C2" s="12" t="str">
        <x:v>unit</x:v>
      </x:c>
      <x:c r="D2" s="12" t="str">
        <x:v>fixed_scale</x:v>
      </x:c>
      <x:c r="E2" s="12" t="str">
        <x:v>source_scope</x:v>
      </x:c>
      <x:c r="F2" s="12" t="str">
        <x:v>target_scope</x:v>
      </x:c>
      <x:c r="G2" s="12" t="str">
        <x:v>calculation_phase</x:v>
      </x:c>
      <x:c r="H2" s="12" t="str">
        <x:v>stacking_group</x:v>
      </x:c>
      <x:c r="I2" s="12" t="str">
        <x:v>stacking_mode</x:v>
      </x:c>
      <x:c r="J2" s="12" t="str">
        <x:v>cap_rule</x:v>
      </x:c>
      <x:c r="K2" s="12" t="str">
        <x:v>rounding_phase</x:v>
      </x:c>
      <x:c r="L2" s="12" t="str">
        <x:v>base_or_extension</x:v>
      </x:c>
      <x:c r="M2" s="12" t="str">
        <x:v>record_status</x:v>
      </x:c>
      <x:c r="N2" s="12" t="str">
        <x:v>source_ref</x:v>
      </x:c>
      <x:c r="O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string / 必填 / both</x:v>
      </x:c>
      <x:c r="F3" s="15" t="str">
        <x:v>string / 必填 / both</x:v>
      </x:c>
      <x:c r="G3" s="15" t="str">
        <x:v>string / 必填 / both</x:v>
      </x:c>
      <x:c r="H3" s="15" t="str">
        <x:v>string / 必填 / both</x:v>
      </x:c>
      <x:c r="I3" s="15" t="str">
        <x:v>string / 必填 / both</x:v>
      </x:c>
      <x:c r="J3" s="15" t="str">
        <x:v>json / 必填 / both</x:v>
      </x:c>
      <x:c r="K3" s="15" t="str">
        <x:v>string / 必填 / both</x:v>
      </x:c>
      <x:c r="L3" s="15" t="str">
        <x:v>string / 必填 / both</x:v>
      </x:c>
      <x:c r="M3" s="15" t="str">
        <x:v>string / 必填 / none</x:v>
      </x:c>
      <x:c r="N3" s="15" t="str">
        <x:v>string / 必填 / none</x:v>
      </x:c>
      <x:c r="O3" s="15" t="str">
        <x:v>string / 可空 / none</x:v>
      </x:c>
    </x:row>
    <x:row r="4" ht="15" hidden="0" customHeight="1">
      <x:c r="A4" s="19"/>
      <x:c r="B4" s="17"/>
      <x:c r="C4" s="17"/>
      <x:c r="D4" s="16"/>
      <x:c r="E4" s="17"/>
      <x:c r="F4" s="17"/>
      <x:c r="G4" s="17"/>
      <x:c r="H4" s="17"/>
      <x:c r="I4" s="17"/>
      <x:c r="J4" s="17"/>
      <x:c r="K4" s="17"/>
      <x:c r="L4" s="17"/>
      <x:c r="M4" s="17"/>
      <x:c r="N4" s="18"/>
      <x:c r="O4" s="18"/>
    </x:row>
    <x:row r="5" ht="15" hidden="0" customHeight="1">
      <x:c r="A5" s="19"/>
      <x:c r="B5" s="17"/>
      <x:c r="C5" s="17"/>
      <x:c r="D5" s="16"/>
      <x:c r="E5" s="17"/>
      <x:c r="F5" s="17"/>
      <x:c r="G5" s="17"/>
      <x:c r="H5" s="17"/>
      <x:c r="I5" s="17"/>
      <x:c r="J5" s="17"/>
      <x:c r="K5" s="17"/>
      <x:c r="L5" s="17"/>
      <x:c r="M5" s="17"/>
      <x:c r="N5" s="18"/>
      <x:c r="O5" s="18"/>
    </x:row>
    <x:row r="6" ht="15" hidden="0" customHeight="1">
      <x:c r="A6" s="19"/>
      <x:c r="B6" s="17"/>
      <x:c r="C6" s="17"/>
      <x:c r="D6" s="16"/>
      <x:c r="E6" s="17"/>
      <x:c r="F6" s="17"/>
      <x:c r="G6" s="17"/>
      <x:c r="H6" s="17"/>
      <x:c r="I6" s="17"/>
      <x:c r="J6" s="17"/>
      <x:c r="K6" s="17"/>
      <x:c r="L6" s="17"/>
      <x:c r="M6" s="17"/>
      <x:c r="N6" s="18"/>
      <x:c r="O6" s="18"/>
    </x:row>
    <x:row r="7" ht="15" hidden="0" customHeight="1">
      <x:c r="A7" s="19"/>
      <x:c r="B7" s="17"/>
      <x:c r="C7" s="17"/>
      <x:c r="D7" s="16"/>
      <x:c r="E7" s="17"/>
      <x:c r="F7" s="17"/>
      <x:c r="G7" s="17"/>
      <x:c r="H7" s="17"/>
      <x:c r="I7" s="17"/>
      <x:c r="J7" s="17"/>
      <x:c r="K7" s="17"/>
      <x:c r="L7" s="17"/>
      <x:c r="M7" s="17"/>
      <x:c r="N7" s="18"/>
      <x:c r="O7" s="18"/>
    </x:row>
    <x:row r="8" ht="15" hidden="0" customHeight="1">
      <x:c r="A8" s="19"/>
      <x:c r="B8" s="17"/>
      <x:c r="C8" s="17"/>
      <x:c r="D8" s="16"/>
      <x:c r="E8" s="17"/>
      <x:c r="F8" s="17"/>
      <x:c r="G8" s="17"/>
      <x:c r="H8" s="17"/>
      <x:c r="I8" s="17"/>
      <x:c r="J8" s="17"/>
      <x:c r="K8" s="17"/>
      <x:c r="L8" s="17"/>
      <x:c r="M8" s="17"/>
      <x:c r="N8" s="18"/>
      <x:c r="O8" s="18"/>
    </x:row>
    <x:row r="9" ht="15" hidden="0" customHeight="1">
      <x:c r="A9" s="19"/>
      <x:c r="B9" s="17"/>
      <x:c r="C9" s="17"/>
      <x:c r="D9" s="16"/>
      <x:c r="E9" s="17"/>
      <x:c r="F9" s="17"/>
      <x:c r="G9" s="17"/>
      <x:c r="H9" s="17"/>
      <x:c r="I9" s="17"/>
      <x:c r="J9" s="17"/>
      <x:c r="K9" s="17"/>
      <x:c r="L9" s="17"/>
      <x:c r="M9" s="17"/>
      <x:c r="N9" s="18"/>
      <x:c r="O9" s="18"/>
    </x:row>
  </x:sheetData>
  <x:conditionalFormatting sqref="A4:A1003">
    <x:cfRule type="expression" dxfId="773" priority="1">
      <x:formula>AND($A4&lt;&gt;"",ISBLANK(A4))</x:formula>
    </x:cfRule>
  </x:conditionalFormatting>
  <x:conditionalFormatting sqref="B4:B1003">
    <x:cfRule type="expression" dxfId="774" priority="2">
      <x:formula>AND($A4&lt;&gt;"",ISBLANK(B4))</x:formula>
    </x:cfRule>
  </x:conditionalFormatting>
  <x:conditionalFormatting sqref="C4:C1003">
    <x:cfRule type="expression" dxfId="775" priority="3">
      <x:formula>AND($A4&lt;&gt;"",ISBLANK(C4))</x:formula>
    </x:cfRule>
  </x:conditionalFormatting>
  <x:conditionalFormatting sqref="D4:D1003">
    <x:cfRule type="expression" dxfId="776" priority="4">
      <x:formula>AND($A4&lt;&gt;"",ISBLANK(D4))</x:formula>
    </x:cfRule>
  </x:conditionalFormatting>
  <x:conditionalFormatting sqref="E4:E1003">
    <x:cfRule type="expression" dxfId="777" priority="5">
      <x:formula>AND($A4&lt;&gt;"",ISBLANK(E4))</x:formula>
    </x:cfRule>
  </x:conditionalFormatting>
  <x:conditionalFormatting sqref="F4:F1003">
    <x:cfRule type="expression" dxfId="778" priority="6">
      <x:formula>AND($A4&lt;&gt;"",ISBLANK(F4))</x:formula>
    </x:cfRule>
  </x:conditionalFormatting>
  <x:conditionalFormatting sqref="G4:G1003">
    <x:cfRule type="expression" dxfId="779" priority="7">
      <x:formula>AND($A4&lt;&gt;"",ISBLANK(G4))</x:formula>
    </x:cfRule>
  </x:conditionalFormatting>
  <x:conditionalFormatting sqref="H4:H1003">
    <x:cfRule type="expression" dxfId="780" priority="8">
      <x:formula>AND($A4&lt;&gt;"",ISBLANK(H4))</x:formula>
    </x:cfRule>
  </x:conditionalFormatting>
  <x:conditionalFormatting sqref="I4:I1003">
    <x:cfRule type="expression" dxfId="781" priority="9">
      <x:formula>AND($A4&lt;&gt;"",ISBLANK(I4))</x:formula>
    </x:cfRule>
  </x:conditionalFormatting>
  <x:conditionalFormatting sqref="J4:J1003">
    <x:cfRule type="expression" dxfId="782" priority="10">
      <x:formula>AND($A4&lt;&gt;"",ISBLANK(J4))</x:formula>
    </x:cfRule>
  </x:conditionalFormatting>
  <x:conditionalFormatting sqref="K4:K1003">
    <x:cfRule type="expression" dxfId="783" priority="11">
      <x:formula>AND($A4&lt;&gt;"",ISBLANK(K4))</x:formula>
    </x:cfRule>
  </x:conditionalFormatting>
  <x:conditionalFormatting sqref="L4:L1003">
    <x:cfRule type="expression" dxfId="784" priority="12">
      <x:formula>AND($A4&lt;&gt;"",ISBLANK(L4))</x:formula>
    </x:cfRule>
  </x:conditionalFormatting>
  <x:conditionalFormatting sqref="M4:M1003">
    <x:cfRule type="containsText" dxfId="785" priority="13" operator="containsText" text="candidate"/>
    <x:cfRule type="containsText" dxfId="786" priority="14" operator="containsText" text="unverified"/>
    <x:cfRule type="containsText" dxfId="787" priority="15" operator="containsText" text="historical"/>
  </x:conditionalFormatting>
  <x:dataValidations count="1">
    <x:dataValidation type="list" sqref="M4:M1003">
      <x:formula1>"confirmed,candidate,unverified,historical"</x:formula1>
    </x:dataValidation>
  </x:dataValidations>
  <x:pageMargins left="0.7" right="0.7" top="0.75" bottom="0.75" header="0.3" footer="0.3"/>
</x:worksheet>
</file>

<file path=xl/worksheets/sheet9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9" hidden="0" customWidth="1"/>
    <x:col min="5" max="5" width="54" hidden="0" customWidth="1"/>
    <x:col min="6" max="6" width="54" hidden="0" customWidth="1"/>
    <x:col min="7" max="7" width="54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样本档位</x:v>
      </x:c>
      <x:c r="C1" s="7" t="str">
        <x:v>人数</x:v>
      </x:c>
      <x:c r="D1" s="7" t="str">
        <x:v>月现金预算</x:v>
      </x:c>
      <x:c r="E1" s="7" t="str">
        <x:v>卡与战令意愿</x:v>
      </x:c>
      <x:c r="F1" s="7" t="str">
        <x:v>日常行为假设</x:v>
      </x:c>
      <x:c r="G1" s="7" t="str">
        <x:v>市场供需意愿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display_name</x:v>
      </x:c>
      <x:c r="C2" s="12" t="str">
        <x:v>people</x:v>
      </x:c>
      <x:c r="D2" s="12" t="str">
        <x:v>monthly_cash_yuan</x:v>
      </x:c>
      <x:c r="E2" s="12" t="str">
        <x:v>entitlements</x:v>
      </x:c>
      <x:c r="F2" s="12" t="str">
        <x:v>daily_behavior</x:v>
      </x:c>
      <x:c r="G2" s="12" t="str">
        <x:v>market_behavior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none</x:v>
      </x:c>
      <x:c r="B3" s="15" t="str">
        <x:v>string / 必填 / none</x:v>
      </x:c>
      <x:c r="C3" s="15" t="str">
        <x:v>int / 必填 / none</x:v>
      </x:c>
      <x:c r="D3" s="15" t="str">
        <x:v>number / 必填 / 人民币元 / none</x:v>
      </x:c>
      <x:c r="E3" s="15" t="str">
        <x:v>json / 必填 / none</x:v>
      </x:c>
      <x:c r="F3" s="15" t="str">
        <x:v>json / 必填 / none</x:v>
      </x:c>
      <x:c r="G3" s="15" t="str">
        <x:v>json / 必填 / none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66" hidden="0" customHeight="1">
      <x:c r="A4" s="19" t="n">
        <x:v>1</x:v>
      </x:c>
      <x:c r="B4" s="17" t="str">
        <x:v>零氪</x:v>
      </x:c>
      <x:c r="C4" s="16" t="n">
        <x:v>600</x:v>
      </x:c>
      <x:c r="D4" s="20" t="n">
        <x:v>0</x:v>
      </x:c>
      <x:c r="E4" s="17" t="str">
        <x:v>{"privilege":false,"hosting":false,"pass_yuan":0}</x:v>
      </x:c>
      <x:c r="F4" s="17" t="str">
        <x:v>{"online_hours":1,"hosting_buy_desire_hours":0,"ordinary_monsters":4,"kill_factor":0.75,"world_boss_participation":1,"rank_weight":0.2,"arena_win_probability":0.5,"other_direct_gold_bonus":0,"body_gold_budget":420000,"refine_desire":1,"craft_desire":0.05,"craft_quality":"rare","weapon_craft_multiplier":1}</x:v>
      </x:c>
      <x:c r="G4" s="17" t="str">
        <x:v>{"gold_sell_fraction_of_surplus":0,"materials_order":["medal_fragments","feathers","enhance_stones"],"sell_desire":[0,0,0],"buy_desire":[0,0,0],"npc_unbound_ingot_budget_display":0}</x:v>
      </x:c>
      <x:c r="H4" s="17" t="str">
        <x:v>historical</x:v>
      </x:c>
      <x:c r="I4" s="18" t="str">
        <x:v>最终策划案.md:1292-1326；附录B.1</x:v>
      </x:c>
      <x:c r="J4" s="18" t="str">
        <x:v>小数为群体行为期望；付费不自动赋予效率/排名/胜率，成交仍受供需与钱包约束。</x:v>
      </x:c>
    </x:row>
    <x:row r="5" ht="66" hidden="0" customHeight="1">
      <x:c r="A5" s="19" t="n">
        <x:v>2</x:v>
      </x:c>
      <x:c r="B5" s="17" t="str">
        <x:v>30元特权</x:v>
      </x:c>
      <x:c r="C5" s="16" t="n">
        <x:v>180</x:v>
      </x:c>
      <x:c r="D5" s="20" t="n">
        <x:v>30</x:v>
      </x:c>
      <x:c r="E5" s="17" t="str">
        <x:v>{"privilege":true,"hosting":false,"pass_yuan":0}</x:v>
      </x:c>
      <x:c r="F5" s="17" t="str">
        <x:v>{"online_hours":1,"hosting_buy_desire_hours":0,"ordinary_monsters":6,"kill_factor":0.85,"world_boss_participation":1.2,"rank_weight":0.5,"arena_win_probability":0.55,"other_direct_gold_bonus":0.02,"body_gold_budget":190000,"refine_desire":1,"craft_desire":0.03,"craft_quality":"rare","weapon_craft_multiplier":1}</x:v>
      </x:c>
      <x:c r="G5" s="17" t="str">
        <x:v>{"gold_sell_fraction_of_surplus":0.7,"materials_order":["medal_fragments","feathers","enhance_stones"],"sell_desire":[35,0.04,30],"buy_desire":[0,0,0],"npc_unbound_ingot_budget_display":0}</x:v>
      </x:c>
      <x:c r="H5" s="17" t="str">
        <x:v>historical</x:v>
      </x:c>
      <x:c r="I5" s="18" t="str">
        <x:v>最终策划案.md:1292-1326；附录B.1</x:v>
      </x:c>
      <x:c r="J5" s="18" t="str">
        <x:v>小数为群体行为期望；付费不自动赋予效率/排名/胜率，成交仍受供需与钱包约束。</x:v>
      </x:c>
    </x:row>
    <x:row r="6" ht="66" hidden="0" customHeight="1">
      <x:c r="A6" s="19" t="n">
        <x:v>3</x:v>
      </x:c>
      <x:c r="B6" s="17" t="str">
        <x:v>45元托管</x:v>
      </x:c>
      <x:c r="C6" s="16" t="n">
        <x:v>40</x:v>
      </x:c>
      <x:c r="D6" s="20" t="n">
        <x:v>45</x:v>
      </x:c>
      <x:c r="E6" s="17" t="str">
        <x:v>{"privilege":false,"hosting":true,"pass_yuan":0}</x:v>
      </x:c>
      <x:c r="F6" s="17" t="str">
        <x:v>{"online_hours":1,"hosting_buy_desire_hours":0,"ordinary_monsters":8,"kill_factor":0.85,"world_boss_participation":1,"rank_weight":0.4,"arena_win_probability":0.55,"other_direct_gold_bonus":0.02,"body_gold_budget":900000,"refine_desire":2,"craft_desire":0.1,"craft_quality":"rare","weapon_craft_multiplier":1}</x:v>
      </x:c>
      <x:c r="G6" s="17" t="str">
        <x:v>{"gold_sell_fraction_of_surplus":0,"materials_order":["medal_fragments","feathers","enhance_stones"],"sell_desire":[0,0,0],"buy_desire":[0,0,0],"npc_unbound_ingot_budget_display":0}</x:v>
      </x:c>
      <x:c r="H6" s="17" t="str">
        <x:v>historical</x:v>
      </x:c>
      <x:c r="I6" s="18" t="str">
        <x:v>最终策划案.md:1292-1326；附录B.1</x:v>
      </x:c>
      <x:c r="J6" s="18" t="str">
        <x:v>小数为群体行为期望；付费不自动赋予效率/排名/胜率，成交仍受供需与钱包约束。</x:v>
      </x:c>
    </x:row>
    <x:row r="7" ht="66" hidden="0" customHeight="1">
      <x:c r="A7" s="19" t="n">
        <x:v>4</x:v>
      </x:c>
      <x:c r="B7" s="17" t="str">
        <x:v>75元双卡</x:v>
      </x:c>
      <x:c r="C7" s="16" t="n">
        <x:v>120</x:v>
      </x:c>
      <x:c r="D7" s="20" t="n">
        <x:v>75</x:v>
      </x:c>
      <x:c r="E7" s="17" t="str">
        <x:v>{"privilege":true,"hosting":true,"pass_yuan":0}</x:v>
      </x:c>
      <x:c r="F7" s="17" t="str">
        <x:v>{"online_hours":1.5,"hosting_buy_desire_hours":0,"ordinary_monsters":8,"kill_factor":1,"world_boss_participation":1.3,"rank_weight":1,"arena_win_probability":0.6,"other_direct_gold_bonus":0.04,"body_gold_budget":1300000,"refine_desire":3,"craft_desire":0.15,"craft_quality":"rare","weapon_craft_multiplier":1}</x:v>
      </x:c>
      <x:c r="G7" s="17" t="str">
        <x:v>{"gold_sell_fraction_of_surplus":0.1,"materials_order":["medal_fragments","feathers","enhance_stones"],"sell_desire":[15,0.04,20],"buy_desire":[0,0,0],"npc_unbound_ingot_budget_display":0}</x:v>
      </x:c>
      <x:c r="H7" s="17" t="str">
        <x:v>historical</x:v>
      </x:c>
      <x:c r="I7" s="18" t="str">
        <x:v>最终策划案.md:1292-1326；附录B.1</x:v>
      </x:c>
      <x:c r="J7" s="18" t="str">
        <x:v>小数为群体行为期望；付费不自动赋予效率/排名/胜率，成交仍受供需与钱包约束。</x:v>
      </x:c>
    </x:row>
    <x:row r="8" ht="66" hidden="0" customHeight="1">
      <x:c r="A8" s="19" t="n">
        <x:v>5</x:v>
      </x:c>
      <x:c r="B8" s="17" t="str">
        <x:v>200元微氪</x:v>
      </x:c>
      <x:c r="C8" s="16" t="n">
        <x:v>40</x:v>
      </x:c>
      <x:c r="D8" s="20" t="n">
        <x:v>200</x:v>
      </x:c>
      <x:c r="E8" s="17" t="str">
        <x:v>{"privilege":true,"hosting":true,"pass_yuan":28}</x:v>
      </x:c>
      <x:c r="F8" s="17" t="str">
        <x:v>{"online_hours":2,"hosting_buy_desire_hours":0,"ordinary_monsters":8,"kill_factor":1.1,"world_boss_participation":1.5,"rank_weight":1.8,"arena_win_probability":0.65,"other_direct_gold_bonus":0.05,"body_gold_budget":1600000,"refine_desire":5,"craft_desire":0.25,"craft_quality":"rare","weapon_craft_multiplier":1}</x:v>
      </x:c>
      <x:c r="G8" s="17" t="str">
        <x:v>{"gold_sell_fraction_of_surplus":0,"materials_order":["medal_fragments","feathers","enhance_stones"],"sell_desire":[0,0,0],"buy_desire":[40,0.08,30],"npc_unbound_ingot_budget_display":40}</x:v>
      </x:c>
      <x:c r="H8" s="17" t="str">
        <x:v>historical</x:v>
      </x:c>
      <x:c r="I8" s="18" t="str">
        <x:v>最终策划案.md:1292-1326；附录B.1</x:v>
      </x:c>
      <x:c r="J8" s="18" t="str">
        <x:v>小数为群体行为期望；付费不自动赋予效率/排名/胜率，成交仍受供需与钱包约束。</x:v>
      </x:c>
    </x:row>
    <x:row r="9" ht="66" hidden="0" customHeight="1">
      <x:c r="A9" s="19" t="n">
        <x:v>6</x:v>
      </x:c>
      <x:c r="B9" s="17" t="str">
        <x:v>800元中氪</x:v>
      </x:c>
      <x:c r="C9" s="16" t="n">
        <x:v>18</x:v>
      </x:c>
      <x:c r="D9" s="20" t="n">
        <x:v>800</x:v>
      </x:c>
      <x:c r="E9" s="17" t="str">
        <x:v>{"privilege":true,"hosting":true,"pass_yuan":98}</x:v>
      </x:c>
      <x:c r="F9" s="17" t="str">
        <x:v>{"online_hours":2.5,"hosting_buy_desire_hours":1,"ordinary_monsters":8,"kill_factor":1.2,"world_boss_participation":1.7,"rank_weight":3,"arena_win_probability":0.75,"other_direct_gold_bonus":0.07,"body_gold_budget":1333333.333333,"refine_desire":10,"craft_desire":2,"craft_quality":"epic","weapon_craft_multiplier":1}</x:v>
      </x:c>
      <x:c r="G9" s="17" t="str">
        <x:v>{"gold_sell_fraction_of_surplus":0,"materials_order":["medal_fragments","feathers","enhance_stones"],"sell_desire":[0,0,0],"buy_desire":[200,0.25,120],"npc_unbound_ingot_budget_display":300}</x:v>
      </x:c>
      <x:c r="H9" s="17" t="str">
        <x:v>historical</x:v>
      </x:c>
      <x:c r="I9" s="18" t="str">
        <x:v>最终策划案.md:1292-1326；附录B.1</x:v>
      </x:c>
      <x:c r="J9" s="18" t="str">
        <x:v>小数为群体行为期望；付费不自动赋予效率/排名/胜率，成交仍受供需与钱包约束。</x:v>
      </x:c>
    </x:row>
    <x:row r="10" ht="66" hidden="0" customHeight="1">
      <x:c r="A10" s="19" t="n">
        <x:v>7</x:v>
      </x:c>
      <x:c r="B10" s="17" t="str">
        <x:v>5000元大氪</x:v>
      </x:c>
      <x:c r="C10" s="16" t="n">
        <x:v>2</x:v>
      </x:c>
      <x:c r="D10" s="20" t="n">
        <x:v>5000</x:v>
      </x:c>
      <x:c r="E10" s="17" t="str">
        <x:v>{"privilege":true,"hosting":true,"pass_yuan":98}</x:v>
      </x:c>
      <x:c r="F10" s="17" t="str">
        <x:v>{"online_hours":3,"hosting_buy_desire_hours":3,"ordinary_monsters":8,"kill_factor":1.3,"world_boss_participation":1.9,"rank_weight":5,"arena_win_probability":0.85,"other_direct_gold_bonus":0.1,"body_gold_budget":3333333.333333,"refine_desire":18,"craft_desire":8,"craft_quality":"epic","weapon_craft_multiplier":1.5}</x:v>
      </x:c>
      <x:c r="G10" s="17" t="str">
        <x:v>{"gold_sell_fraction_of_surplus":0,"materials_order":["medal_fragments","feathers","enhance_stones"],"sell_desire":[0,0,0],"buy_desire":[600,0.9,300],"npc_unbound_ingot_budget_display":4000}</x:v>
      </x:c>
      <x:c r="H10" s="17" t="str">
        <x:v>historical</x:v>
      </x:c>
      <x:c r="I10" s="18" t="str">
        <x:v>最终策划案.md:1292-1326；附录B.1</x:v>
      </x:c>
      <x:c r="J10" s="18" t="str">
        <x:v>小数为群体行为期望；付费不自动赋予效率/排名/胜率，成交仍受供需与钱包约束。</x:v>
      </x:c>
    </x:row>
  </x:sheetData>
  <x:conditionalFormatting sqref="A4:A1003">
    <x:cfRule type="expression" dxfId="788" priority="1">
      <x:formula>AND($A4&lt;&gt;"",ISBLANK(A4))</x:formula>
    </x:cfRule>
  </x:conditionalFormatting>
  <x:conditionalFormatting sqref="B4:B1003">
    <x:cfRule type="expression" dxfId="789" priority="2">
      <x:formula>AND($A4&lt;&gt;"",ISBLANK(B4))</x:formula>
    </x:cfRule>
  </x:conditionalFormatting>
  <x:conditionalFormatting sqref="C4:C1003">
    <x:cfRule type="expression" dxfId="790" priority="3">
      <x:formula>AND($A4&lt;&gt;"",ISBLANK(C4))</x:formula>
    </x:cfRule>
  </x:conditionalFormatting>
  <x:conditionalFormatting sqref="D4:D1003">
    <x:cfRule type="expression" dxfId="791" priority="4">
      <x:formula>AND($A4&lt;&gt;"",ISBLANK(D4))</x:formula>
    </x:cfRule>
  </x:conditionalFormatting>
  <x:conditionalFormatting sqref="E4:E1003">
    <x:cfRule type="expression" dxfId="792" priority="5">
      <x:formula>AND($A4&lt;&gt;"",ISBLANK(E4))</x:formula>
    </x:cfRule>
  </x:conditionalFormatting>
  <x:conditionalFormatting sqref="F4:F1003">
    <x:cfRule type="expression" dxfId="793" priority="6">
      <x:formula>AND($A4&lt;&gt;"",ISBLANK(F4))</x:formula>
    </x:cfRule>
  </x:conditionalFormatting>
  <x:conditionalFormatting sqref="G4:G1003">
    <x:cfRule type="expression" dxfId="794" priority="7">
      <x:formula>AND($A4&lt;&gt;"",ISBLANK(G4))</x:formula>
    </x:cfRule>
  </x:conditionalFormatting>
  <x:conditionalFormatting sqref="H4:H1003">
    <x:cfRule type="containsText" dxfId="795" priority="8" operator="containsText" text="candidate"/>
    <x:cfRule type="containsText" dxfId="796" priority="9" operator="containsText" text="unverified"/>
    <x:cfRule type="containsText" dxfId="797" priority="10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9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历史模型键</x:v>
      </x:c>
      <x:c r="C1" s="7" t="str">
        <x:v>历史值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model_key</x:v>
      </x:c>
      <x:c r="C2" s="12" t="str">
        <x:v>model_value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none</x:v>
      </x:c>
      <x:c r="B3" s="15" t="str">
        <x:v>string / 必填 / none</x:v>
      </x:c>
      <x:c r="C3" s="15" t="str">
        <x:v>json / 必填 / none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standard_kills_per_hour</x:v>
      </x:c>
      <x:c r="C4" s="17" t="str">
        <x:v>1800</x:v>
      </x:c>
      <x:c r="D4" s="17" t="str">
        <x:v>historical</x:v>
      </x:c>
      <x:c r="E4" s="18" t="str">
        <x:v>最终策划案.md:1330；附录B.2</x:v>
      </x:c>
      <x:c r="F4" s="18" t="str">
        <x:v>历史经济行为样本，不是当前三职业实测。</x:v>
      </x:c>
    </x:row>
    <x:row r="5" ht="26.399999618530273" hidden="0" customHeight="1">
      <x:c r="A5" s="19" t="n">
        <x:v>2</x:v>
      </x:c>
      <x:c r="B5" s="17" t="str">
        <x:v>equipment_quality_weights_bp</x:v>
      </x:c>
      <x:c r="C5" s="17" t="str">
        <x:v>{"normal":8500,"fine":1450,"rare":49,"epic":1}</x:v>
      </x:c>
      <x:c r="D5" s="17" t="str">
        <x:v>historical</x:v>
      </x:c>
      <x:c r="E5" s="18" t="str">
        <x:v>最终策划案.md:1330；附录B.2</x:v>
      </x:c>
      <x:c r="F5" s="18" t="str"/>
    </x:row>
    <x:row r="6" ht="15" hidden="0" customHeight="1">
      <x:c r="A6" s="19" t="n">
        <x:v>3</x:v>
      </x:c>
      <x:c r="B6" s="17" t="str">
        <x:v>gold_recycle_multipliers</x:v>
      </x:c>
      <x:c r="C6" s="17" t="str">
        <x:v>{"normal":1,"fine":3,"rare":9,"epic":27}</x:v>
      </x:c>
      <x:c r="D6" s="17" t="str">
        <x:v>historical</x:v>
      </x:c>
      <x:c r="E6" s="18" t="str">
        <x:v>最终策划案.md:1330；附录B.2</x:v>
      </x:c>
      <x:c r="F6" s="18" t="str">
        <x:v>稀有史诗为压力测试场景，正式回收整数分布另配。</x:v>
      </x:c>
    </x:row>
    <x:row r="7" ht="132" hidden="0" customHeight="1">
      <x:c r="A7" s="19" t="n">
        <x:v>4</x:v>
      </x:c>
      <x:c r="B7" s="17" t="str">
        <x:v>level_band_sample</x:v>
      </x:c>
      <x:c r="C7" s="17" t="str">
        <x:v>[{"min":1,"max":19,"medicine_repair_gold_h":1200,"early_kill_factor":0.35,"exp_per_kill":12,"direct_gold_mean":20.4,"normal_recycle_mean":17},{"min":20,"max":29,"medicine_repair_gold_h":2400,"early_kill_factor":0.65,"exp_per_kill":24,"direct_gold_mean":36,"normal_recycle_mean":30},{"min":30,"max":39,"medicine_repair_gold_h":4520,"early_kill_factor":0.85,"exp_per_kill":48,"direct_gold_mean":52.8,"normal_recycle_mean":48},{"min":40,"max":49,"medicine_repair_gold_h":7500,"early_kill_factor":1,"exp_per_kill":96,"direct_gold_mean":72.6,"normal_recycle_mean":88},{"min":50,"max":null,"medicine_repair_gold_h":10000,"early_kill_factor":1,"exp_per_kill":144,"direct_gold_mean":72.96,"normal_recycle_mean":124.8}]</x:v>
      </x:c>
      <x:c r="D7" s="17" t="str">
        <x:v>historical</x:v>
      </x:c>
      <x:c r="E7" s="18" t="str">
        <x:v>最终策划案.md:855-867、1332-1340；5.12、附录B.2</x:v>
      </x:c>
      <x:c r="F7" s="18" t="str"/>
    </x:row>
    <x:row r="8" ht="52.79999923706055" hidden="0" customHeight="1">
      <x:c r="A8" s="19" t="n">
        <x:v>5</x:v>
      </x:c>
      <x:c r="B8" s="17" t="str">
        <x:v>old_exp_curve_segments</x:v>
      </x:c>
      <x:c r="C8" s="17" t="str">
        <x:v>[{"min":1,"max":9,"base_hours":0.03,"growth":1.2},{"min":10,"max":19,"base_hours":0.15,"growth":1.12},{"min":20,"max":29,"base_hours":1.5,"growth":1.15},{"min":30,"max":39,"base_hours":12,"growth":1.13},{"min":40,"max":49,"base_hours":35,"growth":1.1}]</x:v>
      </x:c>
      <x:c r="D8" s="17" t="str">
        <x:v>historical</x:v>
      </x:c>
      <x:c r="E8" s="18" t="str">
        <x:v>最终策划案.md:1342-1352；附录B.2</x:v>
      </x:c>
      <x:c r="F8" s="18" t="str">
        <x:v>只解释历史结果，不生成正式经验表。</x:v>
      </x:c>
    </x:row>
    <x:row r="9" ht="15" hidden="0" customHeight="1">
      <x:c r="A9" s="19" t="n">
        <x:v>6</x:v>
      </x:c>
      <x:c r="B9" s="17" t="str">
        <x:v>old_unlock_levels</x:v>
      </x:c>
      <x:c r="C9" s="17" t="str">
        <x:v>{"personal_boss":15,"world_boss":20,"dungeon":30,"elite":10}</x:v>
      </x:c>
      <x:c r="D9" s="17" t="str">
        <x:v>historical</x:v>
      </x:c>
      <x:c r="E9" s="18" t="str">
        <x:v>最终策划案.md:1351；附录B.2</x:v>
      </x:c>
      <x:c r="F9" s="18" t="str"/>
    </x:row>
    <x:row r="10" ht="52.79999923706055" hidden="0" customHeight="1">
      <x:c r="A10" s="19" t="n">
        <x:v>7</x:v>
      </x:c>
      <x:c r="B10" s="17" t="str">
        <x:v>world_boss_supply_per_1000_active_per_day</x:v>
      </x:c>
      <x:c r="C10" s="17" t="str">
        <x:v>{"feathers":240,"medal_fragments":50000,"participation_share_bp":9000,"rank_share_bp":1000,"success_ppm":950000,"successful_feathers":228,"successful_medal_fragments":47500,"per_participation_feather_cap":0.35,"per_participation_medal_cap":80}</x:v>
      </x:c>
      <x:c r="D10" s="17" t="str">
        <x:v>historical</x:v>
      </x:c>
      <x:c r="E10" s="18" t="str">
        <x:v>最终策划案.md:1356；附录B.3</x:v>
      </x:c>
      <x:c r="F10" s="18" t="str">
        <x:v>0.35仅群体期望，服务端必须整数抽样且预算不超发。</x:v>
      </x:c>
    </x:row>
    <x:row r="11" ht="79.19999694824219" hidden="0" customHeight="1">
      <x:c r="A11" s="19" t="n">
        <x:v>8</x:v>
      </x:c>
      <x:c r="B11" s="17" t="str">
        <x:v>material_source_samples</x:v>
      </x:c>
      <x:c r="C11" s="17" t="str">
        <x:v>{"personal_boss":{"medal_fragments":25,"enhance_stones":8},"elite":{"per_combat_hour":3,"medal_fragments_each":2,"enhance_stones_each":2},"dungeon":{"clear_probability":0.9,"enhance_stones":12},"world_boss_participation":{"enhance_stones":10},"daily":{"medal_fragments":25,"enhance_stones":10,"bound_ingot_display":60,"bound_gold":5000,"refine_stones":2}}</x:v>
      </x:c>
      <x:c r="D11" s="17" t="str">
        <x:v>historical</x:v>
      </x:c>
      <x:c r="E11" s="18" t="str">
        <x:v>最终策划案.md:1357-1358；附录B.3</x:v>
      </x:c>
      <x:c r="F11" s="18" t="str"/>
    </x:row>
    <x:row r="12" ht="26.399999618530273" hidden="0" customHeight="1">
      <x:c r="A12" s="19" t="n">
        <x:v>9</x:v>
      </x:c>
      <x:c r="B12" s="17" t="str">
        <x:v>old_arena_feather_exchange_points</x:v>
      </x:c>
      <x:c r="C12" s="17" t="str">
        <x:v>100</x:v>
      </x:c>
      <x:c r="D12" s="17" t="str">
        <x:v>historical</x:v>
      </x:c>
      <x:c r="E12" s="18" t="str">
        <x:v>最终策划案.md:1359；附录B.3</x:v>
      </x:c>
      <x:c r="F12" s="18" t="str">
        <x:v>当前4.19候选250，不能用历史100得出的翅膀周期证明当前平衡。</x:v>
      </x:c>
    </x:row>
    <x:row r="13" ht="26.399999618530273" hidden="0" customHeight="1">
      <x:c r="A13" s="19" t="n">
        <x:v>10</x:v>
      </x:c>
      <x:c r="B13" s="17" t="str">
        <x:v>wing_cumulative_feathers_by_rank</x:v>
      </x:c>
      <x:c r="C13" s="17" t="str">
        <x:v>[1,4,14,28,48,90,150,250,420,800]</x:v>
      </x:c>
      <x:c r="D13" s="17" t="str">
        <x:v>historical</x:v>
      </x:c>
      <x:c r="E13" s="18" t="str">
        <x:v>最终策划案.md:1361；附录B.3</x:v>
      </x:c>
      <x:c r="F13" s="18" t="str">
        <x:v>仅历史样本，正式逐阶表留空。</x:v>
      </x:c>
    </x:row>
    <x:row r="14" ht="26.399999618530273" hidden="0" customHeight="1">
      <x:c r="A14" s="19" t="n">
        <x:v>11</x:v>
      </x:c>
      <x:c r="B14" s="17" t="str">
        <x:v>medal_cumulative_fragments_at_50</x:v>
      </x:c>
      <x:c r="C14" s="17" t="str">
        <x:v>60000</x:v>
      </x:c>
      <x:c r="D14" s="17" t="str">
        <x:v>historical</x:v>
      </x:c>
      <x:c r="E14" s="18" t="str">
        <x:v>最终策划案.md:1362；附录B.3</x:v>
      </x:c>
      <x:c r="F14" s="18" t="str"/>
    </x:row>
    <x:row r="15" ht="26.399999618530273" hidden="0" customHeight="1">
      <x:c r="A15" s="19" t="n">
        <x:v>12</x:v>
      </x:c>
      <x:c r="B15" s="17" t="str">
        <x:v>medal_old_step_formula_by_band</x:v>
      </x:c>
      <x:c r="C15" s="17" t="str">
        <x:v>["20*k","200+40*k","600+60*k","1200+80*k","2350+100*k"]</x:v>
      </x:c>
      <x:c r="D15" s="17" t="str">
        <x:v>historical</x:v>
      </x:c>
      <x:c r="E15" s="18" t="str">
        <x:v>最终策划案.md:1362；附录B.3</x:v>
      </x:c>
      <x:c r="F15" s="18" t="str">
        <x:v>k=1..10，历史逐级需求而非现行定价。</x:v>
      </x:c>
    </x:row>
    <x:row r="16" ht="26.399999618530273" hidden="0" customHeight="1">
      <x:c r="A16" s="19" t="n">
        <x:v>13</x:v>
      </x:c>
      <x:c r="B16" s="17" t="str">
        <x:v>mining_tools</x:v>
      </x:c>
      <x:c r="C16" s="17" t="str">
        <x:v>{"layer_1":{"gold":5000,"durability":10000},"layer_2":{"gold":25000,"durability":30000}}</x:v>
      </x:c>
      <x:c r="D16" s="17" t="str">
        <x:v>historical</x:v>
      </x:c>
      <x:c r="E16" s="18" t="str">
        <x:v>最终策划案.md:1377；附录B.4</x:v>
      </x:c>
      <x:c r="F16" s="18" t="str"/>
    </x:row>
    <x:row r="17" ht="15" hidden="0" customHeight="1">
      <x:c r="A17" s="19" t="n">
        <x:v>14</x:v>
      </x:c>
      <x:c r="B17" s="17" t="str">
        <x:v>mining_daily_hours</x:v>
      </x:c>
      <x:c r="C17" s="17" t="str">
        <x:v>0.25</x:v>
      </x:c>
      <x:c r="D17" s="17" t="str">
        <x:v>historical</x:v>
      </x:c>
      <x:c r="E17" s="18" t="str">
        <x:v>最终策划案.md:1377；附录B.4</x:v>
      </x:c>
      <x:c r="F17" s="18" t="str"/>
    </x:row>
    <x:row r="18" ht="26.399999618530273" hidden="0" customHeight="1">
      <x:c r="A18" s="19" t="n">
        <x:v>15</x:v>
      </x:c>
      <x:c r="B18" s="17" t="str">
        <x:v>craft_blueprint_personal_boss_rates</x:v>
      </x:c>
      <x:c r="C18" s="17" t="str">
        <x:v>{"rare":0.02,"epic":0.002}</x:v>
      </x:c>
      <x:c r="D18" s="17" t="str">
        <x:v>historical</x:v>
      </x:c>
      <x:c r="E18" s="18" t="str">
        <x:v>最终策划案.md:875-879、1375；5.12、附录B.4</x:v>
      </x:c>
      <x:c r="F18" s="18" t="str"/>
    </x:row>
    <x:row r="19" ht="26.399999618530273" hidden="0" customHeight="1">
      <x:c r="A19" s="19" t="n">
        <x:v>16</x:v>
      </x:c>
      <x:c r="B19" s="17" t="str">
        <x:v>craft_sample</x:v>
      </x:c>
      <x:c r="C19" s="17" t="str">
        <x:v>{"rare_ores":4,"epic_ores":6,"mean_purity":29.1,"success_probability":0.291,"success_target":10}</x:v>
      </x:c>
      <x:c r="D19" s="17" t="str">
        <x:v>historical</x:v>
      </x:c>
      <x:c r="E19" s="18" t="str">
        <x:v>最终策划案.md:1375；附录B.4</x:v>
      </x:c>
      <x:c r="F19" s="18" t="str"/>
    </x:row>
    <x:row r="20" ht="52.79999923706055" hidden="0" customHeight="1">
      <x:c r="A20" s="19" t="n">
        <x:v>17</x:v>
      </x:c>
      <x:c r="B20" s="17" t="str">
        <x:v>refine_sample</x:v>
      </x:c>
      <x:c r="C20" s="17" t="str">
        <x:v>{"quality":"rare","slots":2,"stones_per_attempt":4,"duplicate_allowed":false,"acceptable_types":3,"pool_size":9,"minimum_tier_multiplier":1.5,"success_probability":0.005208333333333333,"ten_item_expected_attempts":1920,"locks":0}</x:v>
      </x:c>
      <x:c r="D20" s="17" t="str">
        <x:v>historical</x:v>
      </x:c>
      <x:c r="E20" s="18" t="str">
        <x:v>最终策划案.md:873-875；5.12</x:v>
      </x:c>
      <x:c r="F20" s="18" t="str">
        <x:v>1920为模型有限追求投入上限，不是服务端保底。</x:v>
      </x:c>
    </x:row>
    <x:row r="21" ht="15" hidden="0" customHeight="1">
      <x:c r="A21" s="19" t="n">
        <x:v>18</x:v>
      </x:c>
      <x:c r="B21" s="17" t="str">
        <x:v>initial_wallet</x:v>
      </x:c>
      <x:c r="C21" s="17" t="str">
        <x:v>{"level":1,"bound_gold":10000,"unbound_ingot_u":0}</x:v>
      </x:c>
      <x:c r="D21" s="17" t="str">
        <x:v>historical</x:v>
      </x:c>
      <x:c r="E21" s="18" t="str">
        <x:v>最终策划案.md:1326；附录B.1</x:v>
      </x:c>
      <x:c r="F21" s="18" t="str">
        <x:v>模型初始条件，出生赠送须另审定配置。</x:v>
      </x:c>
    </x:row>
    <x:row r="22" ht="26.399999618530273" hidden="0" customHeight="1">
      <x:c r="A22" s="19" t="n">
        <x:v>19</x:v>
      </x:c>
      <x:c r="B22" s="17" t="str">
        <x:v>market_reference_prices_display_ingot</x:v>
      </x:c>
      <x:c r="C22" s="17" t="str">
        <x:v>{"gold_per_10000":2,"medal_fragment":3,"feather":200,"enhance_stone":2}</x:v>
      </x:c>
      <x:c r="D22" s="17" t="str">
        <x:v>historical</x:v>
      </x:c>
      <x:c r="E22" s="18" t="str">
        <x:v>最终策划案.md:915；5.12</x:v>
      </x:c>
      <x:c r="F22" s="18" t="str">
        <x:v>样本假设，不能当NPC兜底买价或现行固定汇率。</x:v>
      </x:c>
    </x:row>
    <x:row r="23" ht="15" hidden="0" customHeight="1">
      <x:c r="A23" s="19" t="n">
        <x:v>20</x:v>
      </x:c>
      <x:c r="B23" s="17" t="str">
        <x:v>soul_old_difficulty</x:v>
      </x:c>
      <x:c r="C23" s="17" t="str">
        <x:v>[1,2,3,4,5,6,7,8,10,12,14,16,20]</x:v>
      </x:c>
      <x:c r="D23" s="17" t="str">
        <x:v>historical</x:v>
      </x:c>
      <x:c r="E23" s="18" t="str">
        <x:v>最终策划案.md:748；5.9</x:v>
      </x:c>
      <x:c r="F23" s="18" t="str"/>
    </x:row>
    <x:row r="24" ht="15" hidden="0" customHeight="1">
      <x:c r="A24" s="19" t="n">
        <x:v>21</x:v>
      </x:c>
      <x:c r="B24" s="17" t="str">
        <x:v>soul_old_star_multiplier</x:v>
      </x:c>
      <x:c r="C24" s="17" t="str">
        <x:v>[1,1.3,1.7,2.2,2.8,3.5,4.4]</x:v>
      </x:c>
      <x:c r="D24" s="17" t="str">
        <x:v>historical</x:v>
      </x:c>
      <x:c r="E24" s="18" t="str">
        <x:v>最终策划案.md:748；5.9</x:v>
      </x:c>
      <x:c r="F24" s="18" t="str"/>
    </x:row>
    <x:row r="25" ht="26.399999618530273" hidden="0" customHeight="1">
      <x:c r="A25" s="19" t="n">
        <x:v>22</x:v>
      </x:c>
      <x:c r="B25" s="17" t="str">
        <x:v>codex_old_kill_thresholds</x:v>
      </x:c>
      <x:c r="C25" s="17" t="str">
        <x:v>{"ordinary":500,"elite":100,"boss":20}</x:v>
      </x:c>
      <x:c r="D25" s="17" t="str">
        <x:v>historical</x:v>
      </x:c>
      <x:c r="E25" s="18" t="str">
        <x:v>最终策划案.md:439；4.17</x:v>
      </x:c>
      <x:c r="F25" s="18" t="str">
        <x:v>旧门槛仅调参参考，未发布当前门槛。</x:v>
      </x:c>
    </x:row>
    <x:row r="26" ht="52.79999923706055" hidden="0" customHeight="1">
      <x:c r="A26" s="19" t="n">
        <x:v>23</x:v>
      </x:c>
      <x:c r="B26" s="17" t="str">
        <x:v>gold_consumption_ratio_windows</x:v>
      </x:c>
      <x:c r="C26" s="17" t="str">
        <x:v>{"days_151_180":0.8566,"days_336_365":0.8517,"days_391_420":0.7641,"days_701_730":0.594,"half_refine_desire":0.566,"no_refine":0.2605,"all_online_24h":0.4726,"finished_all_targets":0.2,"finished_workshop_pure_mining":0.0966}</x:v>
      </x:c>
      <x:c r="D26" s="17" t="str">
        <x:v>historical</x:v>
      </x:c>
      <x:c r="E26" s="18" t="str">
        <x:v>最终策划案.md:879-932；5.12</x:v>
      </x:c>
      <x:c r="F26" s="18" t="str">
        <x:v>历史样本结果，当前完整幸运、绑定改造和交易行为未复算。</x:v>
      </x:c>
    </x:row>
    <x:row r="27" ht="26.399999618530273" hidden="0" customHeight="1">
      <x:c r="A27" s="19" t="n">
        <x:v>24</x:v>
      </x:c>
      <x:c r="B27" s="17" t="str">
        <x:v>first_day_and_pass_feathers</x:v>
      </x:c>
      <x:c r="C27" s="17" t="str">
        <x:v>{"day_one_task_bound_feather":1,"paid_98_pass_per_30days_bound_feather":1}</x:v>
      </x:c>
      <x:c r="D27" s="17" t="str">
        <x:v>historical</x:v>
      </x:c>
      <x:c r="E27" s="18" t="str">
        <x:v>最终策划案.md:1360；附录B.3</x:v>
      </x:c>
      <x:c r="F27" s="18" t="str">
        <x:v>实际发放必须整件，不能提前摊成每日可消费小数。</x:v>
      </x:c>
    </x:row>
    <x:row r="28" ht="26.399999618530273" hidden="0" customHeight="1">
      <x:c r="A28" s="19" t="n">
        <x:v>25</x:v>
      </x:c>
      <x:c r="B28" s="17" t="str">
        <x:v>soul_old_drop_rates</x:v>
      </x:c>
      <x:c r="C28" s="17" t="str">
        <x:v>{"personal_boss":0.03,"world_boss_by_rank":[0.4,0.3,0.2,0.1,0.05],"elite":0.06}</x:v>
      </x:c>
      <x:c r="D28" s="17" t="str">
        <x:v>historical</x:v>
      </x:c>
      <x:c r="E28" s="18" t="str">
        <x:v>最终策划案.md:515；4.22</x:v>
      </x:c>
      <x:c r="F28" s="18" t="str">
        <x:v>旧初值仅供来源追溯，不生成当前掉落表。</x:v>
      </x:c>
    </x:row>
    <x:row r="29" ht="26.399999618530273" hidden="0" customHeight="1">
      <x:c r="A29" s="19" t="n">
        <x:v>26</x:v>
      </x:c>
      <x:c r="B29" s="17" t="str">
        <x:v>old_soul_five_based_requirements</x:v>
      </x:c>
      <x:c r="C29" s="17" t="str">
        <x:v>{"equivalent_copies_at_7star":15625,"formula":"n*5^(star-1)"}</x:v>
      </x:c>
      <x:c r="D29" s="17" t="str">
        <x:v>historical</x:v>
      </x:c>
      <x:c r="E29" s="18" t="str">
        <x:v>最终策划案.md:517；4.22</x:v>
      </x:c>
      <x:c r="F29" s="18" t="str">
        <x:v>此需求公式已撤销为默认定价。</x:v>
      </x:c>
    </x:row>
    <x:row r="30" ht="39.599998474121094" hidden="0" customHeight="1">
      <x:c r="A30" s="19" t="n">
        <x:v>27</x:v>
      </x:c>
      <x:c r="B30" s="17" t="str">
        <x:v>old_medal_mean_reference</x:v>
      </x:c>
      <x:c r="C30" s="17" t="str">
        <x:v>{"level_1_mean_main":0.5,"level_1_mean_secondary":0.5,"main_mean_per_level":0.2,"secondary_mean_per_level":0.1,"level_50_main_mean":10.3,"level_50_secondary_mean":5.4}</x:v>
      </x:c>
      <x:c r="D30" s="17" t="str">
        <x:v>historical</x:v>
      </x:c>
      <x:c r="E30" s="18" t="str">
        <x:v>最终策划案.md:527；4.23</x:v>
      </x:c>
      <x:c r="F30" s="18" t="str">
        <x:v>仅原文重算参考，不是当前区间上界或已满足属性预算。</x:v>
      </x:c>
    </x:row>
    <x:row r="31" ht="184.8000030517578" hidden="0" customHeight="1">
      <x:c r="A31" s="19" t="n">
        <x:v>28</x:v>
      </x:c>
      <x:c r="B31" s="17" t="str">
        <x:v>monthly_gold_ledger_windows</x:v>
      </x:c>
      <x:c r="C31" s="17" t="str">
        <x:v>[{"day_start":1,"day_end":30,"daily_new_gold":176852318,"daily_consumed_gold":114608979,"ratio":0.648,"end_bound_gold":702143267,"end_gold":1175156920},{"day_start":31,"day_end":60,"daily_new_gold":250341628,"daily_consumed_gold":154357076,"ratio":0.6166,"end_bound_gold":2412527246,"end_gold":2344309492},{"day_start":61,"day_end":90,"daily_new_gold":331355885,"daily_consumed_gold":260500287,"ratio":0.7862,"end_bound_gold":4262712165,"end_gold":2619792530},{"day_start":91,"day_end":120,"daily_new_gold":337774631,"daily_consumed_gold":260605713,"ratio":0.7715,"end_bound_gold":6260714969,"end_gold":2936857263},{"day_start":121,"day_end":150,"daily_new_gold":338500558,"daily_consumed_gold":258209892,"ratio":0.7628,"end_bound_gold":8242110631,"end_gold":3364181578},{"day_start":151,"day_end":180,"daily_new_gold":349643473,"daily_consumed_gold":299509588,"ratio":0.8566,"end_bound_gold":9687833873,"end_gold":3422474882}]</x:v>
      </x:c>
      <x:c r="D31" s="17" t="str">
        <x:v>historical</x:v>
      </x:c>
      <x:c r="E31" s="18" t="str">
        <x:v>最终策划案.md:881-893；5.12</x:v>
      </x:c>
      <x:c r="F31" s="18" t="str">
        <x:v>展示率有取整；应按窗口总耗/总新增复算。</x:v>
      </x:c>
    </x:row>
    <x:row r="32" ht="158.39999389648438" hidden="0" customHeight="1">
      <x:c r="A32" s="19" t="n">
        <x:v>29</x:v>
      </x:c>
      <x:c r="B32" s="17" t="str">
        <x:v>sample_progression_days</x:v>
      </x:c>
      <x:c r="C32" s="17" t="str">
        <x:v>[{"profile":"零氪","role_50":173,"four_gold_body_50":174,"wing_5":137,"medal_50":"&gt;180","ten_slots_enhance_50":"&gt;180"},{"profile":"30元特权","role_50":153,"four_gold_body_50":155,"wing_5":129,"medal_50":"&gt;180","ten_slots_enhance_50":"&gt;180"},{"profile":"45元托管","role_50":68,"four_gold_body_50":69,"wing_5":135,"medal_50":"&gt;180","ten_slots_enhance_50":"&gt;180"},{"profile":"75元双卡","role_50":56,"four_gold_body_50":57,"wing_5":110,"medal_50":"&gt;180","ten_slots_enhance_50":"&gt;180"},{"profile":"200元微氪","role_50":50,"four_gold_body_50":51,"wing_5":75,"medal_50":161,"ten_slots_enhance_50":"&gt;180"},{"profile":"800元中氪","role_50":42,"four_gold_body_50":43,"wing_5":48,"medal_50":107,"ten_slots_enhance_50":129},{"profile":"5000元大氪","role_50":37,"four_gold_body_50":38,"wing_5":29,"medal_50":61,"ten_slots_enhance_50":84}]</x:v>
      </x:c>
      <x:c r="D32" s="17" t="str">
        <x:v>historical</x:v>
      </x:c>
      <x:c r="E32" s="18" t="str">
        <x:v>最终策划案.md:895-907；5.12</x:v>
      </x:c>
      <x:c r="F32" s="18" t="str">
        <x:v>各系统并行、不能把天数相加；翅膀按100积分旧模型，未按现行250候选与幸运规则复算。</x:v>
      </x:c>
    </x:row>
  </x:sheetData>
  <x:conditionalFormatting sqref="A4:A1003">
    <x:cfRule type="expression" dxfId="798" priority="1">
      <x:formula>AND($A4&lt;&gt;"",ISBLANK(A4))</x:formula>
    </x:cfRule>
  </x:conditionalFormatting>
  <x:conditionalFormatting sqref="B4:B1003">
    <x:cfRule type="expression" dxfId="799" priority="2">
      <x:formula>AND($A4&lt;&gt;"",ISBLANK(B4))</x:formula>
    </x:cfRule>
  </x:conditionalFormatting>
  <x:conditionalFormatting sqref="C4:C1003">
    <x:cfRule type="expression" dxfId="800" priority="3">
      <x:formula>AND($A4&lt;&gt;"",ISBLANK(C4))</x:formula>
    </x:cfRule>
  </x:conditionalFormatting>
  <x:conditionalFormatting sqref="D4:D1003">
    <x:cfRule type="containsText" dxfId="801" priority="4" operator="containsText" text="candidate"/>
    <x:cfRule type="containsText" dxfId="802" priority="5" operator="containsText" text="unverified"/>
    <x:cfRule type="containsText" dxfId="803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9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server</x:v>
      </x:c>
      <x:c r="B3" s="15" t="str">
        <x:v>string / 必填 / server</x:v>
      </x:c>
      <x:c r="C3" s="15" t="str">
        <x:v>json / 必填 / server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26.399999618530273" hidden="0" customHeight="1">
      <x:c r="A4" s="19" t="n">
        <x:v>1</x:v>
      </x:c>
      <x:c r="B4" s="17" t="str">
        <x:v>game_product_rules.parallel_special_challenges_limit</x:v>
      </x:c>
      <x:c r="C4" s="17" t="str">
        <x:v>1</x:v>
      </x:c>
      <x:c r="D4" s="17" t="str">
        <x:v>confirmed</x:v>
      </x:c>
      <x:c r="E4" s="18" t="str">
        <x:v>最终策划案.md:31-47、91-105、337-339、1011-1060、1141-1145；1、4.1、4.11、7.2、8.1</x:v>
      </x:c>
      <x:c r="F4" s="18" t="str"/>
    </x:row>
    <x:row r="5" ht="26.399999618530273" hidden="0" customHeight="1">
      <x:c r="A5" s="19" t="n">
        <x:v>2</x:v>
      </x:c>
      <x:c r="B5" s="17" t="str">
        <x:v>game_product_rules.ordinary_hunt_continues_during_challenge</x:v>
      </x:c>
      <x:c r="C5" s="17" t="str">
        <x:v>true</x:v>
      </x:c>
      <x:c r="D5" s="17" t="str">
        <x:v>confirmed</x:v>
      </x:c>
      <x:c r="E5" s="18" t="str">
        <x:v>最终策划案.md:31-47、91-105、337-339、1011-1060、1141-1145；1、4.1、4.11、7.2、8.1</x:v>
      </x:c>
      <x:c r="F5" s="18" t="str"/>
    </x:row>
    <x:row r="6" ht="26.399999618530273" hidden="0" customHeight="1">
      <x:c r="A6" s="19" t="n">
        <x:v>3</x:v>
      </x:c>
      <x:c r="B6" s="17" t="str">
        <x:v>game_product_rules.special_challenge_uses_fixed_entry_combat_snapshot</x:v>
      </x:c>
      <x:c r="C6" s="17" t="str">
        <x:v>true</x:v>
      </x:c>
      <x:c r="D6" s="17" t="str">
        <x:v>confirmed</x:v>
      </x:c>
      <x:c r="E6" s="18" t="str">
        <x:v>最终策划案.md:31-47、91-105、337-339、1011-1060、1141-1145；1、4.1、4.11、7.2、8.1</x:v>
      </x:c>
      <x:c r="F6" s="18" t="str"/>
    </x:row>
    <x:row r="7" ht="15" hidden="0" customHeight="1">
      <x:c r="A7" s="19" t="n">
        <x:v>4</x:v>
      </x:c>
      <x:c r="B7" s="17" t="str">
        <x:v>game_warehouse_rules.shared_warehouse_key</x:v>
      </x:c>
      <x:c r="C7" s="17" t="str">
        <x:v>["account_id","origin_server_id"]</x:v>
      </x:c>
      <x:c r="D7" s="17" t="str">
        <x:v>confirmed</x:v>
      </x:c>
      <x:c r="E7" s="18" t="str">
        <x:v>最终策划案.md:109-129、959-1010；4.2、7.1</x:v>
      </x:c>
      <x:c r="F7" s="18" t="str"/>
    </x:row>
    <x:row r="8" ht="26.399999618530273" hidden="0" customHeight="1">
      <x:c r="A8" s="19" t="n">
        <x:v>5</x:v>
      </x:c>
      <x:c r="B8" s="17" t="str">
        <x:v>game_warehouse_rules.inventory_lock_states</x:v>
      </x:c>
      <x:c r="C8" s="17" t="str">
        <x:v>["equipped","locked","refine_preview_pending","trade_escrow","other_operation_reserved"]</x:v>
      </x:c>
      <x:c r="D8" s="17" t="str">
        <x:v>confirmed</x:v>
      </x:c>
      <x:c r="E8" s="18" t="str">
        <x:v>最终策划案.md:109-129、959-1010；4.2、7.1</x:v>
      </x:c>
      <x:c r="F8" s="18" t="str"/>
    </x:row>
    <x:row r="9" ht="26.399999618530273" hidden="0" customHeight="1">
      <x:c r="A9" s="19" t="n">
        <x:v>6</x:v>
      </x:c>
      <x:c r="B9" s="17" t="str">
        <x:v>game_bound_resource_ui.request_required_fields</x:v>
      </x:c>
      <x:c r="C9" s="17" t="str">
        <x:v>["op_id","target_id","target_version","panel_session_id","allow_bound_inputs","selected_inputs","quote_version","config_version"]</x:v>
      </x:c>
      <x:c r="D9" s="17" t="str">
        <x:v>confirmed</x:v>
      </x:c>
      <x:c r="E9" s="18" t="str">
        <x:v>最终策划案.md:264-278；4.7</x:v>
      </x:c>
      <x:c r="F9" s="18" t="str"/>
    </x:row>
    <x:row r="10" ht="15" hidden="0" customHeight="1">
      <x:c r="A10" s="19" t="n">
        <x:v>7</x:v>
      </x:c>
      <x:c r="B10" s="17" t="str">
        <x:v>game_bound_resource_ui.server_default_without_explicit_authorization</x:v>
      </x:c>
      <x:c r="C10" s="17" t="str">
        <x:v>"deny_bound_inputs"</x:v>
      </x:c>
      <x:c r="D10" s="17" t="str">
        <x:v>confirmed</x:v>
      </x:c>
      <x:c r="E10" s="18" t="str">
        <x:v>最终策划案.md:264-278；4.7</x:v>
      </x:c>
      <x:c r="F10" s="18" t="str"/>
    </x:row>
    <x:row r="11" ht="15" hidden="0" customHeight="1">
      <x:c r="A11" s="19" t="n">
        <x:v>8</x:v>
      </x:c>
      <x:c r="B11" s="17" t="str">
        <x:v>game_gold_market_rules.reference_vwap_window_lots</x:v>
      </x:c>
      <x:c r="C11" s="17" t="str">
        <x:v>5000</x:v>
      </x:c>
      <x:c r="D11" s="17" t="str">
        <x:v>candidate</x:v>
      </x:c>
      <x:c r="E11" s="18" t="str">
        <x:v>最终策划案.md:298-319；4.9</x:v>
      </x:c>
      <x:c r="F11" s="18" t="str">
        <x:v>限价首测候选。</x:v>
      </x:c>
    </x:row>
    <x:row r="12" ht="15" hidden="0" customHeight="1">
      <x:c r="A12" s="19" t="n">
        <x:v>9</x:v>
      </x:c>
      <x:c r="B12" s="17" t="str">
        <x:v>game_gold_market_rules.reference_limit_bp</x:v>
      </x:c>
      <x:c r="C12" s="17" t="str">
        <x:v>2000</x:v>
      </x:c>
      <x:c r="D12" s="17" t="str">
        <x:v>candidate</x:v>
      </x:c>
      <x:c r="E12" s="18" t="str">
        <x:v>最终策划案.md:298-319；4.9</x:v>
      </x:c>
      <x:c r="F12" s="18" t="str">
        <x:v>均价上下20%候选。</x:v>
      </x:c>
    </x:row>
    <x:row r="13" ht="15" hidden="0" customHeight="1">
      <x:c r="A13" s="19" t="n">
        <x:v>10</x:v>
      </x:c>
      <x:c r="B13" s="17" t="str">
        <x:v>game_gold_market_rules.cold_start_price_ingot_u</x:v>
      </x:c>
      <x:c r="C13" s="17"/>
      <x:c r="D13" s="17" t="str">
        <x:v>unverified</x:v>
      </x:c>
      <x:c r="E13" s="18" t="str">
        <x:v>最终策划案.md:298-319；4.9</x:v>
      </x:c>
      <x:c r="F13" s="18" t="str">
        <x:v>待经济和成交仿真审核。</x:v>
      </x:c>
    </x:row>
    <x:row r="14" ht="15" hidden="0" customHeight="1">
      <x:c r="A14" s="19" t="n">
        <x:v>11</x:v>
      </x:c>
      <x:c r="B14" s="17" t="str">
        <x:v>game_gold_market_rules.tax_remainder_key</x:v>
      </x:c>
      <x:c r="C14" s="17" t="str">
        <x:v>["account_id","origin_server_id"]</x:v>
      </x:c>
      <x:c r="D14" s="17" t="str">
        <x:v>confirmed</x:v>
      </x:c>
      <x:c r="E14" s="18" t="str">
        <x:v>最终策划案.md:298-319；4.9</x:v>
      </x:c>
      <x:c r="F14" s="18" t="str"/>
    </x:row>
    <x:row r="15" ht="15" hidden="0" customHeight="1">
      <x:c r="A15" s="19" t="n">
        <x:v>12</x:v>
      </x:c>
      <x:c r="B15" s="17" t="str">
        <x:v>game_gold_market_rules.tax_shared_between_markets</x:v>
      </x:c>
      <x:c r="C15" s="17" t="str">
        <x:v>true</x:v>
      </x:c>
      <x:c r="D15" s="17" t="str">
        <x:v>confirmed</x:v>
      </x:c>
      <x:c r="E15" s="18" t="str">
        <x:v>最终策划案.md:298-319；4.9</x:v>
      </x:c>
      <x:c r="F15" s="18" t="str"/>
    </x:row>
    <x:row r="16" ht="15" hidden="0" customHeight="1">
      <x:c r="A16" s="19" t="n">
        <x:v>13</x:v>
      </x:c>
      <x:c r="B16" s="17" t="str">
        <x:v>game_gold_market_rules.tax_divisor</x:v>
      </x:c>
      <x:c r="C16" s="17" t="str">
        <x:v>10</x:v>
      </x:c>
      <x:c r="D16" s="17" t="str">
        <x:v>confirmed</x:v>
      </x:c>
      <x:c r="E16" s="18" t="str">
        <x:v>最终策划案.md:298-319；4.9</x:v>
      </x:c>
      <x:c r="F16" s="18" t="str"/>
    </x:row>
    <x:row r="17" ht="26.399999618530273" hidden="0" customHeight="1">
      <x:c r="A17" s="19" t="n">
        <x:v>14</x:v>
      </x:c>
      <x:c r="B17" s="17" t="str">
        <x:v>game_gold_market_rules.tax_formula</x:v>
      </x:c>
      <x:c r="C17" s="17" t="str">
        <x:v>"tax_u=floor((gross_u+remainder)/10); next_remainder=(gross_u+remainder)%10"</x:v>
      </x:c>
      <x:c r="D17" s="17" t="str">
        <x:v>confirmed</x:v>
      </x:c>
      <x:c r="E17" s="18" t="str">
        <x:v>最终策划案.md:298-319；4.9</x:v>
      </x:c>
      <x:c r="F17" s="18" t="str"/>
    </x:row>
    <x:row r="18" ht="15" hidden="0" customHeight="1">
      <x:c r="A18" s="19" t="n">
        <x:v>15</x:v>
      </x:c>
      <x:c r="B18" s="17" t="str">
        <x:v>game_drop_guarantees.pity_scope</x:v>
      </x:c>
      <x:c r="C18" s="17" t="str">
        <x:v>"role"</x:v>
      </x:c>
      <x:c r="D18" s="17" t="str">
        <x:v>confirmed</x:v>
      </x:c>
      <x:c r="E18" s="18" t="str">
        <x:v>最终策划案.md:600-614；5.2</x:v>
      </x:c>
      <x:c r="F18" s="18" t="str"/>
    </x:row>
    <x:row r="19" ht="15" hidden="0" customHeight="1">
      <x:c r="A19" s="19" t="n">
        <x:v>16</x:v>
      </x:c>
      <x:c r="B19" s="17" t="str">
        <x:v>game_drop_guarantees.pity_advanced_by</x:v>
      </x:c>
      <x:c r="C19" s="17" t="str">
        <x:v>"ordinary_monster_kills_only"</x:v>
      </x:c>
      <x:c r="D19" s="17" t="str">
        <x:v>confirmed</x:v>
      </x:c>
      <x:c r="E19" s="18" t="str">
        <x:v>最终策划案.md:600-614；5.2</x:v>
      </x:c>
      <x:c r="F19" s="18" t="str"/>
    </x:row>
    <x:row r="20" ht="15" hidden="0" customHeight="1">
      <x:c r="A20" s="19" t="n">
        <x:v>17</x:v>
      </x:c>
      <x:c r="B20" s="17" t="str">
        <x:v>game_drop_guarantees.pity_reset_on</x:v>
      </x:c>
      <x:c r="C20" s="17" t="str">
        <x:v>"ordinary_equipment_result"</x:v>
      </x:c>
      <x:c r="D20" s="17" t="str">
        <x:v>confirmed</x:v>
      </x:c>
      <x:c r="E20" s="18" t="str">
        <x:v>最终策划案.md:600-614；5.2</x:v>
      </x:c>
      <x:c r="F20" s="18" t="str"/>
    </x:row>
    <x:row r="21" ht="15" hidden="0" customHeight="1">
      <x:c r="A21" s="19" t="n">
        <x:v>18</x:v>
      </x:c>
      <x:c r="B21" s="17" t="str">
        <x:v>game_drop_guarantees.boss_elite_do_not_modify_ordinary_pity</x:v>
      </x:c>
      <x:c r="C21" s="17" t="str">
        <x:v>true</x:v>
      </x:c>
      <x:c r="D21" s="17" t="str">
        <x:v>confirmed</x:v>
      </x:c>
      <x:c r="E21" s="18" t="str">
        <x:v>最终策划案.md:600-614；5.2</x:v>
      </x:c>
      <x:c r="F21" s="18" t="str"/>
    </x:row>
    <x:row r="22" ht="15" hidden="0" customHeight="1">
      <x:c r="A22" s="19" t="n">
        <x:v>19</x:v>
      </x:c>
      <x:c r="B22" s="17" t="str">
        <x:v>game_drop_guarantees.pity_persistent</x:v>
      </x:c>
      <x:c r="C22" s="17" t="str">
        <x:v>true</x:v>
      </x:c>
      <x:c r="D22" s="17" t="str">
        <x:v>confirmed</x:v>
      </x:c>
      <x:c r="E22" s="18" t="str">
        <x:v>最终策划案.md:600-614；5.2</x:v>
      </x:c>
      <x:c r="F22" s="18" t="str"/>
    </x:row>
    <x:row r="23" ht="15" hidden="0" customHeight="1">
      <x:c r="A23" s="19" t="n">
        <x:v>20</x:v>
      </x:c>
      <x:c r="B23" s="17" t="str">
        <x:v>game_drop_guarantees.quota_key</x:v>
      </x:c>
      <x:c r="C23" s="17" t="str">
        <x:v>["run_server_id","equipment_stage","quality","time_window"]</x:v>
      </x:c>
      <x:c r="D23" s="17" t="str">
        <x:v>confirmed</x:v>
      </x:c>
      <x:c r="E23" s="18" t="str">
        <x:v>最终策划案.md:600-614；5.2</x:v>
      </x:c>
      <x:c r="F23" s="18" t="str"/>
    </x:row>
    <x:row r="24" ht="15" hidden="0" customHeight="1">
      <x:c r="A24" s="19" t="n">
        <x:v>21</x:v>
      </x:c>
      <x:c r="B24" s="17" t="str">
        <x:v>game_drop_guarantees.quota_source_subledger</x:v>
      </x:c>
      <x:c r="C24" s="17" t="str">
        <x:v>true</x:v>
      </x:c>
      <x:c r="D24" s="17" t="str">
        <x:v>confirmed</x:v>
      </x:c>
      <x:c r="E24" s="18" t="str">
        <x:v>最终策划案.md:600-614；5.2</x:v>
      </x:c>
      <x:c r="F24" s="18" t="str"/>
    </x:row>
    <x:row r="25" ht="15" hidden="0" customHeight="1">
      <x:c r="A25" s="19" t="n">
        <x:v>22</x:v>
      </x:c>
      <x:c r="B25" s="17" t="str">
        <x:v>game_drop_guarantees.quota_replenish_over_time</x:v>
      </x:c>
      <x:c r="C25" s="17" t="str">
        <x:v>true</x:v>
      </x:c>
      <x:c r="D25" s="17" t="str">
        <x:v>confirmed</x:v>
      </x:c>
      <x:c r="E25" s="18" t="str">
        <x:v>最终策划案.md:600-614；5.2</x:v>
      </x:c>
      <x:c r="F25" s="18" t="str"/>
    </x:row>
    <x:row r="26" ht="15" hidden="0" customHeight="1">
      <x:c r="A26" s="19" t="n">
        <x:v>23</x:v>
      </x:c>
      <x:c r="B26" s="17" t="str">
        <x:v>game_drop_guarantees.quota_exhausted_action</x:v>
      </x:c>
      <x:c r="C26" s="17" t="str">
        <x:v>"configured_quality_downgrade_still_equipment_and_reset_pity"</x:v>
      </x:c>
      <x:c r="D26" s="17" t="str">
        <x:v>confirmed</x:v>
      </x:c>
      <x:c r="E26" s="18" t="str">
        <x:v>最终策划案.md:600-614；5.2</x:v>
      </x:c>
      <x:c r="F26" s="18" t="str"/>
    </x:row>
    <x:row r="27" ht="15" hidden="0" customHeight="1">
      <x:c r="A27" s="19" t="n">
        <x:v>24</x:v>
      </x:c>
      <x:c r="B27" s="17" t="str">
        <x:v>game_luck_rules.pity_owner</x:v>
      </x:c>
      <x:c r="C27" s="17" t="str">
        <x:v>["weapon_item_id","wing_id"]</x:v>
      </x:c>
      <x:c r="D27" s="17" t="str">
        <x:v>confirmed</x:v>
      </x:c>
      <x:c r="E27" s="18" t="str">
        <x:v>最终策划案.md:235-246；4.6</x:v>
      </x:c>
      <x:c r="F27" s="18" t="str"/>
    </x:row>
    <x:row r="28" ht="15" hidden="0" customHeight="1">
      <x:c r="A28" s="19" t="n">
        <x:v>25</x:v>
      </x:c>
      <x:c r="B28" s="17" t="str">
        <x:v>game_luck_rules.wing_pity_survives</x:v>
      </x:c>
      <x:c r="C28" s="17" t="str">
        <x:v>["upgrade","skin_change","hide_appearance"]</x:v>
      </x:c>
      <x:c r="D28" s="17" t="str">
        <x:v>confirmed</x:v>
      </x:c>
      <x:c r="E28" s="18" t="str">
        <x:v>最终策划案.md:235-246；4.6</x:v>
      </x:c>
      <x:c r="F28" s="18" t="str"/>
    </x:row>
    <x:row r="29" ht="15" hidden="0" customHeight="1">
      <x:c r="A29" s="19" t="n">
        <x:v>26</x:v>
      </x:c>
      <x:c r="B29" s="17" t="str">
        <x:v>game_luck_rules.weapon_pity_survives</x:v>
      </x:c>
      <x:c r="C29" s="17" t="str">
        <x:v>["legal_transfer","warehouse","relogin"]</x:v>
      </x:c>
      <x:c r="D29" s="17" t="str">
        <x:v>confirmed</x:v>
      </x:c>
      <x:c r="E29" s="18" t="str">
        <x:v>最终策划案.md:235-246；4.6</x:v>
      </x:c>
      <x:c r="F29" s="18" t="str"/>
    </x:row>
    <x:row r="30" ht="15" hidden="0" customHeight="1">
      <x:c r="A30" s="19" t="n">
        <x:v>27</x:v>
      </x:c>
      <x:c r="B30" s="17" t="str">
        <x:v>game_challenge_rules.challenge_fault_action</x:v>
      </x:c>
      <x:c r="C30" s="17" t="str">
        <x:v>"cancel_and_reconcile_original_challenge_id"</x:v>
      </x:c>
      <x:c r="D30" s="17" t="str">
        <x:v>confirmed</x:v>
      </x:c>
      <x:c r="E30" s="18" t="str">
        <x:v>最终策划案.md:445-471、1011-1060；4.18、7.2</x:v>
      </x:c>
      <x:c r="F30" s="18" t="str"/>
    </x:row>
    <x:row r="31" ht="15" hidden="0" customHeight="1">
      <x:c r="A31" s="19" t="n">
        <x:v>28</x:v>
      </x:c>
      <x:c r="B31" s="17" t="str">
        <x:v>game_challenge_rules.challenge_permanent_commit_owner</x:v>
      </x:c>
      <x:c r="C31" s="17" t="str">
        <x:v>"unique_role_owner"</x:v>
      </x:c>
      <x:c r="D31" s="17" t="str">
        <x:v>confirmed</x:v>
      </x:c>
      <x:c r="E31" s="18" t="str">
        <x:v>最终策划案.md:445-471、1011-1060；4.18、7.2</x:v>
      </x:c>
      <x:c r="F31" s="18" t="str"/>
    </x:row>
  </x:sheetData>
  <x:conditionalFormatting sqref="A4:A1003">
    <x:cfRule type="expression" dxfId="804" priority="1">
      <x:formula>AND($A4&lt;&gt;"",ISBLANK(A4))</x:formula>
    </x:cfRule>
  </x:conditionalFormatting>
  <x:conditionalFormatting sqref="B4:B1003">
    <x:cfRule type="expression" dxfId="805" priority="2">
      <x:formula>AND($A4&lt;&gt;"",ISBLANK(B4))</x:formula>
    </x:cfRule>
  </x:conditionalFormatting>
  <x:conditionalFormatting sqref="C4:C1003">
    <x:cfRule type="expression" dxfId="806" priority="3">
      <x:formula>AND($A4&lt;&gt;"",ISBLANK(C4))</x:formula>
    </x:cfRule>
  </x:conditionalFormatting>
  <x:conditionalFormatting sqref="D4:D1003">
    <x:cfRule type="containsText" dxfId="807" priority="4" operator="containsText" text="candidate"/>
    <x:cfRule type="containsText" dxfId="808" priority="5" operator="containsText" text="unverified"/>
    <x:cfRule type="containsText" dxfId="809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93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42" hidden="0" customWidth="1"/>
    <x:col min="2" max="2" width="23" hidden="0" customWidth="1"/>
    <x:col min="3" max="3" width="78" hidden="0" customWidth="1"/>
    <x:col min="4" max="4" width="78" hidden="0" customWidth="1"/>
    <x:col min="5" max="5" width="22" hidden="0" customWidth="1"/>
    <x:col min="6" max="6" width="72" hidden="0" customWidth="1"/>
    <x:col min="7" max="7" width="48" hidden="0" customWidth="1"/>
  </x:cols>
  <x:sheetData>
    <x:row r="1" ht="30" customHeight="1">
      <x:c r="A1" s="7" t="str">
        <x:v>缺口编号</x:v>
      </x:c>
      <x:c r="B1" s="7" t="str">
        <x:v>领域</x:v>
      </x:c>
      <x:c r="C1" s="7" t="str">
        <x:v>待补内容</x:v>
      </x:c>
      <x:c r="D1" s="7" t="str">
        <x:v>完成条件</x:v>
      </x:c>
      <x:c r="E1" s="7" t="str">
        <x:v>状态</x:v>
      </x:c>
      <x:c r="F1" s="7" t="str">
        <x:v>验证证据或变更引用</x:v>
      </x:c>
      <x:c r="G1" s="7" t="str">
        <x:v>来源</x:v>
      </x:c>
    </x:row>
    <x:row r="2" ht="40" customHeight="1">
      <x:c r="A2" s="21" t="str">
        <x:v>id</x:v>
      </x:c>
      <x:c r="B2" s="21" t="str">
        <x:v>domain</x:v>
      </x:c>
      <x:c r="C2" s="21" t="str">
        <x:v>description</x:v>
      </x:c>
      <x:c r="D2" s="21" t="str">
        <x:v>resolution</x:v>
      </x:c>
      <x:c r="E2" s="21" t="str">
        <x:v>status</x:v>
      </x:c>
      <x:c r="F2" s="21" t="str">
        <x:v>evidence</x:v>
      </x:c>
      <x:c r="G2" s="21" t="str">
        <x:v>source_ref</x:v>
      </x:c>
    </x:row>
    <x:row r="3" ht="40" customHeight="1">
      <x:c r="A3" s="21" t="str">
        <x:v>稳定编号</x:v>
      </x:c>
      <x:c r="B3" s="21" t="str">
        <x:v>配置或资料域</x:v>
      </x:c>
      <x:c r="C3" s="21" t="str">
        <x:v>缺失项；不以0代替</x:v>
      </x:c>
      <x:c r="D3" s="21" t="str">
        <x:v>补齐并完成核验</x:v>
      </x:c>
      <x:c r="E3" s="21" t="str">
        <x:v>open / resolved / not_applicable</x:v>
      </x:c>
      <x:c r="F3" s="21" t="str">
        <x:v>关闭缺口必须填写</x:v>
      </x:c>
      <x:c r="G3" s="21" t="str">
        <x:v>依据文件章节</x:v>
      </x:c>
    </x:row>
    <x:row r="4" ht="60" customHeight="1">
      <x:c r="A4" s="17" t="str">
        <x:v>GAP_GAME_JOB_GROWTH</x:v>
      </x:c>
      <x:c r="B4" s="2" t="str">
        <x:v>职业</x:v>
      </x:c>
      <x:c r="C4" s="17" t="str">
        <x:v>核验三职业出生与逐级数据，废止旧HP19/14/12及逐级9/6/4的无证据默认值。</x:v>
      </x:c>
      <x:c r="D4" s="17" t="str">
        <x:v>补齐该表实际数据与可追溯来源；执行对应规则/资源/数值验收后从unverified或candidate提升confirmed。</x:v>
      </x:c>
      <x:c r="E4" s="2" t="str">
        <x:v>open</x:v>
      </x:c>
      <x:c r="F4" s="2"/>
      <x:c r="G4" s="2" t="str">
        <x:v>最终策划案.md；4.20、5.10</x:v>
      </x:c>
    </x:row>
    <x:row r="5" ht="60" customHeight="1">
      <x:c r="A5" s="17" t="str">
        <x:v>GAP_GAME_ITEMS</x:v>
      </x:c>
      <x:c r="B5" s="2" t="str">
        <x:v>物品</x:v>
      </x:c>
      <x:c r="C5" s="17" t="str">
        <x:v>从候选资料核验本服物品ID、堆叠、效果、图标；不得把来源服完整物品表直接发布。</x:v>
      </x:c>
      <x:c r="D5" s="17" t="str">
        <x:v>补齐该表实际数据与可追溯来源；执行对应规则/资源/数值验收后从unverified或candidate提升confirmed。</x:v>
      </x:c>
      <x:c r="E5" s="2" t="str">
        <x:v>open</x:v>
      </x:c>
      <x:c r="F5" s="2"/>
      <x:c r="G5" s="2" t="str">
        <x:v>最终策划案.md；4.2、5.11</x:v>
      </x:c>
    </x:row>
    <x:row r="6" ht="60" customHeight="1">
      <x:c r="A6" s="17" t="str">
        <x:v>GAP_GAME_EQUIPMENT</x:v>
      </x:c>
      <x:c r="B6" s="2" t="str">
        <x:v>装备</x:v>
      </x:c>
      <x:c r="C6" s="17" t="str">
        <x:v>装备基础区间、需求、持久及打造附加属性强化口径未核验；无性别穿戴条件。</x:v>
      </x:c>
      <x:c r="D6" s="17" t="str">
        <x:v>补齐该表实际数据与可追溯来源；执行对应规则/资源/数值验收后从unverified或candidate提升confirmed。</x:v>
      </x:c>
      <x:c r="E6" s="2" t="str">
        <x:v>open</x:v>
      </x:c>
      <x:c r="F6" s="2"/>
      <x:c r="G6" s="2" t="str">
        <x:v>最终策划案.md；4.2、5.10、5.11</x:v>
      </x:c>
    </x:row>
    <x:row r="7" ht="60" customHeight="1">
      <x:c r="A7" s="17" t="str">
        <x:v>GAP_GAME_APPEARANCE</x:v>
      </x:c>
      <x:c r="B7" s="2" t="str">
        <x:v>资源</x:v>
      </x:c>
      <x:c r="C7" s="17" t="str">
        <x:v>核验同itemID在固定三职业形象上的动作、层序和帧映射；不得拆出男女物品身份。</x:v>
      </x:c>
      <x:c r="D7" s="17" t="str">
        <x:v>补齐该表实际数据与可追溯来源；执行对应规则/资源/数值验收后从unverified或candidate提升confirmed。</x:v>
      </x:c>
      <x:c r="E7" s="2" t="str">
        <x:v>open</x:v>
      </x:c>
      <x:c r="F7" s="2"/>
      <x:c r="G7" s="2" t="str">
        <x:v>最终策划案.md；4.2、4.15、4.20</x:v>
      </x:c>
    </x:row>
    <x:row r="8" ht="60" customHeight="1">
      <x:c r="A8" s="17" t="str">
        <x:v>GAP_GAME_MONSTERS</x:v>
      </x:c>
      <x:c r="B8" s="2" t="str">
        <x:v>怪物</x:v>
      </x:c>
      <x:c r="C8" s="17" t="str">
        <x:v>筛选目标版本怪物并核验属性、行为与经验；不统一倍乘来源数据。</x:v>
      </x:c>
      <x:c r="D8" s="17" t="str">
        <x:v>补齐该表实际数据与可追溯来源；执行对应规则/资源/数值验收后从unverified或candidate提升confirmed。</x:v>
      </x:c>
      <x:c r="E8" s="2" t="str">
        <x:v>open</x:v>
      </x:c>
      <x:c r="F8" s="2"/>
      <x:c r="G8" s="2" t="str">
        <x:v>最终策划案.md；4.8、4.16、5.11</x:v>
      </x:c>
    </x:row>
    <x:row r="9" ht="60" customHeight="1">
      <x:c r="A9" s="17" t="str">
        <x:v>GAP_GAME_MAPS</x:v>
      </x:c>
      <x:c r="B9" s="2" t="str">
        <x:v>地图</x:v>
      </x:c>
      <x:c r="C9" s="17" t="str">
        <x:v>完成首张16x16裁切、阻挡与出生点验证，再分场景制作正式地图清单。</x:v>
      </x:c>
      <x:c r="D9" s="17" t="str">
        <x:v>补齐该表实际数据与可追溯来源；执行对应规则/资源/数值验收后从unverified或candidate提升confirmed。</x:v>
      </x:c>
      <x:c r="E9" s="2" t="str">
        <x:v>open</x:v>
      </x:c>
      <x:c r="F9" s="2"/>
      <x:c r="G9" s="2" t="str">
        <x:v>最终策划案.md；4.16、5.11</x:v>
      </x:c>
    </x:row>
    <x:row r="10" ht="60" customHeight="1">
      <x:c r="A10" s="17" t="str">
        <x:v>GAP_GAME_MAP_COLLISIONS</x:v>
      </x:c>
      <x:c r="B10" s="2" t="str">
        <x:v>地图</x:v>
      </x:c>
      <x:c r="C10" s="17" t="str">
        <x:v>核验原地图列优先格序与碰撞读取，斜角/实体占格/远程阻挡待目标行为对照。</x:v>
      </x:c>
      <x:c r="D10" s="17" t="str">
        <x:v>补齐该表实际数据与可追溯来源；执行对应规则/资源/数值验收后从unverified或candidate提升confirmed。</x:v>
      </x:c>
      <x:c r="E10" s="2" t="str">
        <x:v>open</x:v>
      </x:c>
      <x:c r="F10" s="2"/>
      <x:c r="G10" s="2" t="str">
        <x:v>最终策划案.md；4.16、5.11</x:v>
      </x:c>
    </x:row>
    <x:row r="11" ht="60" customHeight="1">
      <x:c r="A11" s="17" t="str">
        <x:v>GAP_GAME_MAP_REGIONS</x:v>
      </x:c>
      <x:c r="B11" s="2" t="str">
        <x:v>地图</x:v>
      </x:c>
      <x:c r="C11" s="17" t="str">
        <x:v>世界地图、矿区、区域、NPC功能导航和进入条件需按本服开放表确定。</x:v>
      </x:c>
      <x:c r="D11" s="17" t="str">
        <x:v>补齐该表实际数据与可追溯来源；执行对应规则/资源/数值验收后从unverified或candidate提升confirmed。</x:v>
      </x:c>
      <x:c r="E11" s="2" t="str">
        <x:v>open</x:v>
      </x:c>
      <x:c r="F11" s="2"/>
      <x:c r="G11" s="2" t="str">
        <x:v>最终策划案.md；4.16、5.11</x:v>
      </x:c>
    </x:row>
    <x:row r="12" ht="60" customHeight="1">
      <x:c r="A12" s="17" t="str">
        <x:v>GAP_GAME_MONSTER_SPAWNS</x:v>
      </x:c>
      <x:c r="B12" s="2" t="str">
        <x:v>地图</x:v>
      </x:c>
      <x:c r="C12" s="17" t="str">
        <x:v>生成点可达性、精英占槽和增减怪数防刷逻辑尚未实测配置。</x:v>
      </x:c>
      <x:c r="D12" s="17" t="str">
        <x:v>补齐该表实际数据与可追溯来源；执行对应规则/资源/数值验收后从unverified或candidate提升confirmed。</x:v>
      </x:c>
      <x:c r="E12" s="2" t="str">
        <x:v>open</x:v>
      </x:c>
      <x:c r="F12" s="2"/>
      <x:c r="G12" s="2" t="str">
        <x:v>最终策划案.md；4.1、4.16、5.2</x:v>
      </x:c>
    </x:row>
    <x:row r="13" ht="60" customHeight="1">
      <x:c r="A13" s="17" t="str">
        <x:v>GAP_GAME_NPCS</x:v>
      </x:c>
      <x:c r="B13" s="2" t="str">
        <x:v>内容</x:v>
      </x:c>
      <x:c r="C13" s="17" t="str">
        <x:v>NPC功能、位置和任务/商店引用尚未适配。</x:v>
      </x:c>
      <x:c r="D13" s="17" t="str">
        <x:v>补齐该表实际数据与可追溯来源；执行对应规则/资源/数值验收后从unverified或candidate提升confirmed。</x:v>
      </x:c>
      <x:c r="E13" s="2" t="str">
        <x:v>open</x:v>
      </x:c>
      <x:c r="F13" s="2"/>
      <x:c r="G13" s="2" t="str">
        <x:v>最终策划案.md；4.16、5.11</x:v>
      </x:c>
    </x:row>
    <x:row r="14" ht="60" customHeight="1">
      <x:c r="A14" s="17" t="str">
        <x:v>GAP_GAME_SKILLS</x:v>
      </x:c>
      <x:c r="B14" s="2" t="str">
        <x:v>技能</x:v>
      </x:c>
      <x:c r="C14" s="17" t="str">
        <x:v>确认完整三职业目标1.80清单与逐技能证据，待核验技能不得进入正式发布。</x:v>
      </x:c>
      <x:c r="D14" s="17" t="str">
        <x:v>补齐该表实际数据与可追溯来源；执行对应规则/资源/数值验收后从unverified或candidate提升confirmed。</x:v>
      </x:c>
      <x:c r="E14" s="2" t="str">
        <x:v>open</x:v>
      </x:c>
      <x:c r="F14" s="2"/>
      <x:c r="G14" s="2" t="str">
        <x:v>最终策划案.md；4.8、4.20、5.11</x:v>
      </x:c>
    </x:row>
    <x:row r="15" ht="60" customHeight="1">
      <x:c r="A15" s="17" t="str">
        <x:v>GAP_GAME_SKILL_UPGRADES</x:v>
      </x:c>
      <x:c r="B15" s="2" t="str">
        <x:v>技能</x:v>
      </x:c>
      <x:c r="C15" s="17" t="str">
        <x:v>逐技能上限、书页/书本与允许扩展项待配置，旧统一10级/5500页/55本失效。</x:v>
      </x:c>
      <x:c r="D15" s="17" t="str">
        <x:v>补齐该表实际数据与可追溯来源；执行对应规则/资源/数值验收后从unverified或candidate提升confirmed。</x:v>
      </x:c>
      <x:c r="E15" s="2" t="str">
        <x:v>open</x:v>
      </x:c>
      <x:c r="F15" s="2"/>
      <x:c r="G15" s="2" t="str">
        <x:v>最终策划案.md；4.8、5.8、5.11</x:v>
      </x:c>
    </x:row>
    <x:row r="16" ht="60" customHeight="1">
      <x:c r="A16" s="17" t="str">
        <x:v>GAP_GAME_RANGE_PATTERNS</x:v>
      </x:c>
      <x:c r="B16" s="2" t="str">
        <x:v>技能</x:v>
      </x:c>
      <x:c r="C16" s="17" t="str">
        <x:v>直线/扇形/区域/八方向斜角格形须按来源核验，不能按特效包围盒判定。</x:v>
      </x:c>
      <x:c r="D16" s="17" t="str">
        <x:v>补齐该表实际数据与可追溯来源；执行对应规则/资源/数值验收后从unverified或candidate提升confirmed。</x:v>
      </x:c>
      <x:c r="E16" s="2" t="str">
        <x:v>open</x:v>
      </x:c>
      <x:c r="F16" s="2"/>
      <x:c r="G16" s="2" t="str">
        <x:v>最终策划案.md；4.8、5.11</x:v>
      </x:c>
    </x:row>
    <x:row r="17" ht="60" customHeight="1">
      <x:c r="A17" s="17" t="str">
        <x:v>GAP_GAME_BUFFS</x:v>
      </x:c>
      <x:c r="B17" s="2" t="str">
        <x:v>技能</x:v>
      </x:c>
      <x:c r="C17" s="17" t="str">
        <x:v>Buff叠加、死亡/健康换图与断线保留、抗性及触发顺序待核验。</x:v>
      </x:c>
      <x:c r="D17" s="17" t="str">
        <x:v>补齐该表实际数据与可追溯来源；执行对应规则/资源/数值验收后从unverified或candidate提升confirmed。</x:v>
      </x:c>
      <x:c r="E17" s="2" t="str">
        <x:v>open</x:v>
      </x:c>
      <x:c r="F17" s="2"/>
      <x:c r="G17" s="2" t="str">
        <x:v>最终策划案.md；4.8、5.11</x:v>
      </x:c>
    </x:row>
    <x:row r="18" ht="60" customHeight="1">
      <x:c r="A18" s="17" t="str">
        <x:v>GAP_GAME_EFFECTS</x:v>
      </x:c>
      <x:c r="B18" s="2" t="str">
        <x:v>技能</x:v>
      </x:c>
      <x:c r="C18" s="17" t="str">
        <x:v>复合道具与技能效果、触发阶段及反伤防递归须明确。</x:v>
      </x:c>
      <x:c r="D18" s="17" t="str">
        <x:v>补齐该表实际数据与可追溯来源；执行对应规则/资源/数值验收后从unverified或candidate提升confirmed。</x:v>
      </x:c>
      <x:c r="E18" s="2" t="str">
        <x:v>open</x:v>
      </x:c>
      <x:c r="F18" s="2"/>
      <x:c r="G18" s="2" t="str">
        <x:v>最终策划案.md；4.8、5.11</x:v>
      </x:c>
    </x:row>
    <x:row r="19" ht="60" customHeight="1">
      <x:c r="A19" s="17" t="str">
        <x:v>GAP_GAME_PET_TEMPLATES</x:v>
      </x:c>
      <x:c r="B19" s="2" t="str">
        <x:v>宠物</x:v>
      </x:c>
      <x:c r="C19" s="17" t="str">
        <x:v>法师诱惑/道士召唤资格、成功率、寿命、死亡重召与属性来源逐项核验。</x:v>
      </x:c>
      <x:c r="D19" s="17" t="str">
        <x:v>补齐该表实际数据与可追溯来源；执行对应规则/资源/数值验收后从unverified或candidate提升confirmed。</x:v>
      </x:c>
      <x:c r="E19" s="2" t="str">
        <x:v>open</x:v>
      </x:c>
      <x:c r="F19" s="2"/>
      <x:c r="G19" s="2" t="str">
        <x:v>最终策划案.md；4.20、4.8</x:v>
      </x:c>
    </x:row>
    <x:row r="20" ht="60" customHeight="1">
      <x:c r="A20" s="17" t="str">
        <x:v>GAP_GAME_PET_GROWTH</x:v>
      </x:c>
      <x:c r="B20" s="2" t="str">
        <x:v>宠物</x:v>
      </x:c>
      <x:c r="C20" s="17" t="str">
        <x:v>宠物成长与技能升级关系未定，不能默认召唤等级=技能等级。</x:v>
      </x:c>
      <x:c r="D20" s="17" t="str">
        <x:v>补齐该表实际数据与可追溯来源；执行对应规则/资源/数值验收后从unverified或candidate提升confirmed。</x:v>
      </x:c>
      <x:c r="E20" s="2" t="str">
        <x:v>open</x:v>
      </x:c>
      <x:c r="F20" s="2"/>
      <x:c r="G20" s="2" t="str">
        <x:v>最终策划案.md；4.20、4.8</x:v>
      </x:c>
    </x:row>
    <x:row r="21" ht="60" customHeight="1">
      <x:c r="A21" s="17" t="str">
        <x:v>GAP_GAME_EXP_LEVELS</x:v>
      </x:c>
      <x:c r="B21" s="2" t="str">
        <x:v>成长</x:v>
      </x:c>
      <x:c r="C21" s="17" t="str">
        <x:v>按新刷怪/免费6h/三职业/装备/卡权益复算1-50及后续逐级经验，旧E50和235天失效。</x:v>
      </x:c>
      <x:c r="D21" s="17" t="str">
        <x:v>补齐该表实际数据与可追溯来源；执行对应规则/资源/数值验收后从unverified或candidate提升confirmed。</x:v>
      </x:c>
      <x:c r="E21" s="2" t="str">
        <x:v>open</x:v>
      </x:c>
      <x:c r="F21" s="2"/>
      <x:c r="G21" s="2" t="str">
        <x:v>最终策划案.md；5.1、4.4</x:v>
      </x:c>
    </x:row>
    <x:row r="22" ht="60" customHeight="1">
      <x:c r="A22" s="17" t="str">
        <x:v>GAP_GAME_REBIRTH_COSTS</x:v>
      </x:c>
      <x:c r="B22" s="2" t="str">
        <x:v>成长</x:v>
      </x:c>
      <x:c r="C22" s="17" t="str">
        <x:v>挑战凭证、金币、材料和加速上限须从正常活跃收支反推，未发布不开放收费入口。</x:v>
      </x:c>
      <x:c r="D22" s="17" t="str">
        <x:v>补齐该表实际数据与可追溯来源；执行对应规则/资源/数值验收后从unverified或candidate提升confirmed。</x:v>
      </x:c>
      <x:c r="E22" s="2" t="str">
        <x:v>open</x:v>
      </x:c>
      <x:c r="F22" s="2"/>
      <x:c r="G22" s="2" t="str">
        <x:v>最终策划案.md；4.4、5.1、5.6</x:v>
      </x:c>
    </x:row>
    <x:row r="23" ht="60" customHeight="1">
      <x:c r="A23" s="17" t="str">
        <x:v>GAP_GAME_DROP_POOLS</x:v>
      </x:c>
      <x:c r="B23" s="2" t="str">
        <x:v>掉落</x:v>
      </x:c>
      <x:c r="C23" s="17" t="str">
        <x:v>按来源、地图与阶段配置品质和内容，历史85/14.5/0.49/0.01权重不能直接作为最终全地图默认。</x:v>
      </x:c>
      <x:c r="D23" s="17" t="str">
        <x:v>补齐该表实际数据与可追溯来源；执行对应规则/资源/数值验收后从unverified或candidate提升confirmed。</x:v>
      </x:c>
      <x:c r="E23" s="2" t="str">
        <x:v>open</x:v>
      </x:c>
      <x:c r="F23" s="2"/>
      <x:c r="G23" s="2" t="str">
        <x:v>最终策划案.md；5.2、5.11</x:v>
      </x:c>
    </x:row>
    <x:row r="24" ht="60" customHeight="1">
      <x:c r="A24" s="17" t="str">
        <x:v>GAP_GAME_DROP_ENTRIES</x:v>
      </x:c>
      <x:c r="B24" s="2" t="str">
        <x:v>掉落</x:v>
      </x:c>
      <x:c r="C24" s="17" t="str">
        <x:v>实际金币整数分布、药水/书/图纸/装备等条目缺失；均值不得直接发小数金币或物品。</x:v>
      </x:c>
      <x:c r="D24" s="17" t="str">
        <x:v>补齐该表实际数据与可追溯来源；执行对应规则/资源/数值验收后从unverified或candidate提升confirmed。</x:v>
      </x:c>
      <x:c r="E24" s="2" t="str">
        <x:v>open</x:v>
      </x:c>
      <x:c r="F24" s="2"/>
      <x:c r="G24" s="2" t="str">
        <x:v>最终策划案.md；5.2、5.11</x:v>
      </x:c>
    </x:row>
    <x:row r="25" ht="60" customHeight="1">
      <x:c r="A25" s="17" t="str">
        <x:v>GAP_GAME_DROP_QUOTAS</x:v>
      </x:c>
      <x:c r="B25" s="2" t="str">
        <x:v>掉落</x:v>
      </x:c>
      <x:c r="C25" s="17" t="str">
        <x:v>额度、分时补充和降级权重未审定，运行账本不能由静态导出覆盖。</x:v>
      </x:c>
      <x:c r="D25" s="17" t="str">
        <x:v>补齐该表实际数据与可追溯来源；执行对应规则/资源/数值验收后从unverified或candidate提升confirmed。</x:v>
      </x:c>
      <x:c r="E25" s="2" t="str">
        <x:v>open</x:v>
      </x:c>
      <x:c r="F25" s="2"/>
      <x:c r="G25" s="2" t="str">
        <x:v>最终策划案.md；5.2、7.1</x:v>
      </x:c>
    </x:row>
    <x:row r="26" ht="60" customHeight="1">
      <x:c r="A26" s="17" t="str">
        <x:v>GAP_GAME_RECYCLE_VALUES</x:v>
      </x:c>
      <x:c r="B26" s="2" t="str">
        <x:v>工坊</x:v>
      </x:c>
      <x:c r="C26" s="17" t="str">
        <x:v>唯一分解表须确定整数金币分布、损坏副产物以及奖励组合；不产强化石。</x:v>
      </x:c>
      <x:c r="D26" s="17" t="str">
        <x:v>补齐该表实际数据与可追溯来源；执行对应规则/资源/数值验收后从unverified或candidate提升confirmed。</x:v>
      </x:c>
      <x:c r="E26" s="2" t="str">
        <x:v>open</x:v>
      </x:c>
      <x:c r="F26" s="2"/>
      <x:c r="G26" s="2" t="str">
        <x:v>最终策划案.md；4.2、4.4、4.6、5.12</x:v>
      </x:c>
    </x:row>
    <x:row r="27" ht="60" customHeight="1">
      <x:c r="A27" s="17" t="str">
        <x:v>GAP_GAME_REFINE_VALUES</x:v>
      </x:c>
      <x:c r="B27" s="2" t="str">
        <x:v>洗炼</x:v>
      </x:c>
      <x:c r="C27" s="17" t="str">
        <x:v>16词条分阶段A值、单位、重复与全身上限必须按预算重配，旧T5单条9.6%失效。</x:v>
      </x:c>
      <x:c r="D27" s="17" t="str">
        <x:v>补齐该表实际数据与可追溯来源；执行对应规则/资源/数值验收后从unverified或candidate提升confirmed。</x:v>
      </x:c>
      <x:c r="E27" s="2" t="str">
        <x:v>open</x:v>
      </x:c>
      <x:c r="F27" s="2"/>
      <x:c r="G27" s="2" t="str">
        <x:v>最终策划案.md；4.4、5.10</x:v>
      </x:c>
    </x:row>
    <x:row r="28" ht="60" customHeight="1">
      <x:c r="A28" s="17" t="str">
        <x:v>GAP_GAME_PICKAXES</x:v>
      </x:c>
      <x:c r="B28" s="2" t="str">
        <x:v>工坊</x:v>
      </x:c>
      <x:c r="C28" s="17" t="str">
        <x:v>工具整把购入现金流及寿命价格需最终规则验证，历史5000/25000与10000/30000只在历史表。</x:v>
      </x:c>
      <x:c r="D28" s="17" t="str">
        <x:v>补齐该表实际数据与可追溯来源；执行对应规则/资源/数值验收后从unverified或candidate提升confirmed。</x:v>
      </x:c>
      <x:c r="E28" s="2" t="str">
        <x:v>open</x:v>
      </x:c>
      <x:c r="F28" s="2"/>
      <x:c r="G28" s="2" t="str">
        <x:v>最终策划案.md；4.25、5.12</x:v>
      </x:c>
    </x:row>
    <x:row r="29" ht="60" customHeight="1">
      <x:c r="A29" s="17" t="str">
        <x:v>GAP_GAME_CRAFT_RECIPES</x:v>
      </x:c>
      <x:c r="B29" s="2" t="str">
        <x:v>工坊</x:v>
      </x:c>
      <x:c r="C29" s="17" t="str">
        <x:v>补齐所有开放图纸与部位配方；2/4/6/8耗矿对应品质的原文不完整，需明确映射，T1不开放。</x:v>
      </x:c>
      <x:c r="D29" s="17" t="str">
        <x:v>补齐该表实际数据与可追溯来源；执行对应规则/资源/数值验收后从unverified或candidate提升confirmed。</x:v>
      </x:c>
      <x:c r="E29" s="2" t="str">
        <x:v>open</x:v>
      </x:c>
      <x:c r="F29" s="2"/>
      <x:c r="G29" s="2" t="str">
        <x:v>最终策划案.md；4.25、5.12、附录B.4</x:v>
      </x:c>
    </x:row>
    <x:row r="30" ht="60" customHeight="1">
      <x:c r="A30" s="17" t="str">
        <x:v>GAP_GAME_REPAIR_PRICES</x:v>
      </x:c>
      <x:c r="B30" s="2" t="str">
        <x:v>工坊</x:v>
      </x:c>
      <x:c r="C30" s="17" t="str">
        <x:v>普通/特殊修理单价与上限损耗、黑铁修复配方未发布；UI明确全部费用与修后上限。</x:v>
      </x:c>
      <x:c r="D30" s="17" t="str">
        <x:v>补齐该表实际数据与可追溯来源；执行对应规则/资源/数值验收后从unverified或candidate提升confirmed。</x:v>
      </x:c>
      <x:c r="E30" s="2" t="str">
        <x:v>open</x:v>
      </x:c>
      <x:c r="F30" s="2"/>
      <x:c r="G30" s="2" t="str">
        <x:v>最终策划案.md；4.2、4.25</x:v>
      </x:c>
    </x:row>
    <x:row r="31" ht="60" customHeight="1">
      <x:c r="A31" s="17" t="str">
        <x:v>GAP_GAME_BOSS_TEMPLATES</x:v>
      </x:c>
      <x:c r="B31" s="2" t="str">
        <x:v>挑战</x:v>
      </x:c>
      <x:c r="C31" s="17" t="str">
        <x:v>个人档位、世界场次与参与/排名门槛、宠物归属、重返与失败奖尚未逐项审定。</x:v>
      </x:c>
      <x:c r="D31" s="17" t="str">
        <x:v>补齐该表实际数据与可追溯来源；执行对应规则/资源/数值验收后从unverified或candidate提升confirmed。</x:v>
      </x:c>
      <x:c r="E31" s="2" t="str">
        <x:v>open</x:v>
      </x:c>
      <x:c r="F31" s="2"/>
      <x:c r="G31" s="2" t="str">
        <x:v>最终策划案.md；4.18</x:v>
      </x:c>
    </x:row>
    <x:row r="32" ht="60" customHeight="1">
      <x:c r="A32" s="17" t="str">
        <x:v>GAP_GAME_DUNGEON_TEMPLATES</x:v>
      </x:c>
      <x:c r="B32" s="2" t="str">
        <x:v>挑战</x:v>
      </x:c>
      <x:c r="C32" s="17" t="str">
        <x:v>怪物、地图、AI真实能力档与费用、逐来源奖励尚未配置，旧100/300/800雇佣价失效。</x:v>
      </x:c>
      <x:c r="D32" s="17" t="str">
        <x:v>补齐该表实际数据与可追溯来源；执行对应规则/资源/数值验收后从unverified或candidate提升confirmed。</x:v>
      </x:c>
      <x:c r="E32" s="2" t="str">
        <x:v>open</x:v>
      </x:c>
      <x:c r="F32" s="2"/>
      <x:c r="G32" s="2" t="str">
        <x:v>最终策划案.md；4.18</x:v>
      </x:c>
    </x:row>
    <x:row r="33" ht="60" customHeight="1">
      <x:c r="A33" s="17" t="str">
        <x:v>GAP_GAME_ARENA_REWARDS</x:v>
      </x:c>
      <x:c r="B33" s="2" t="str">
        <x:v>竞技</x:v>
      </x:c>
      <x:c r="C33" s="17" t="str">
        <x:v>排名奖励档位、参与奖与完整兑换商品未发布；250积分羽毛仅首测候选。</x:v>
      </x:c>
      <x:c r="D33" s="17" t="str">
        <x:v>补齐该表实际数据与可追溯来源；执行对应规则/资源/数值验收后从unverified或candidate提升confirmed。</x:v>
      </x:c>
      <x:c r="E33" s="2" t="str">
        <x:v>open</x:v>
      </x:c>
      <x:c r="F33" s="2"/>
      <x:c r="G33" s="2" t="str">
        <x:v>最终策划案.md；4.19</x:v>
      </x:c>
    </x:row>
    <x:row r="34" ht="60" customHeight="1">
      <x:c r="A34" s="17" t="str">
        <x:v>GAP_GAME_QUESTS</x:v>
      </x:c>
      <x:c r="B34" s="2" t="str">
        <x:v>任务</x:v>
      </x:c>
      <x:c r="C34" s="17" t="str">
        <x:v>主线逐章教学、目标与奖励尚未配置，不强制购卡或高额养成。</x:v>
      </x:c>
      <x:c r="D34" s="17" t="str">
        <x:v>补齐该表实际数据与可追溯来源；执行对应规则/资源/数值验收后从unverified或candidate提升confirmed。</x:v>
      </x:c>
      <x:c r="E34" s="2" t="str">
        <x:v>open</x:v>
      </x:c>
      <x:c r="F34" s="2"/>
      <x:c r="G34" s="2" t="str">
        <x:v>最终策划案.md；4.21</x:v>
      </x:c>
    </x:row>
    <x:row r="35" ht="60" customHeight="1">
      <x:c r="A35" s="17" t="str">
        <x:v>GAP_GAME_DAILY_TASKS</x:v>
      </x:c>
      <x:c r="B35" s="2" t="str">
        <x:v>任务</x:v>
      </x:c>
      <x:c r="C35" s="17" t="str">
        <x:v>10择6具体任务与100活跃奖励须按新击杀率/行为配置，B.3是历史参考。</x:v>
      </x:c>
      <x:c r="D35" s="17" t="str">
        <x:v>补齐该表实际数据与可追溯来源；执行对应规则/资源/数值验收后从unverified或candidate提升confirmed。</x:v>
      </x:c>
      <x:c r="E35" s="2" t="str">
        <x:v>open</x:v>
      </x:c>
      <x:c r="F35" s="2"/>
      <x:c r="G35" s="2" t="str">
        <x:v>最终策划案.md；4.21</x:v>
      </x:c>
    </x:row>
    <x:row r="36" ht="60" customHeight="1">
      <x:c r="A36" s="17" t="str">
        <x:v>GAP_GAME_ACHIEVEMENTS</x:v>
      </x:c>
      <x:c r="B36" s="2" t="str">
        <x:v>任务</x:v>
      </x:c>
      <x:c r="C36" s="17" t="str">
        <x:v>角色级一次性成就阈值与绑定奖励待发布。</x:v>
      </x:c>
      <x:c r="D36" s="17" t="str">
        <x:v>补齐该表实际数据与可追溯来源；执行对应规则/资源/数值验收后从unverified或candidate提升confirmed。</x:v>
      </x:c>
      <x:c r="E36" s="2" t="str">
        <x:v>open</x:v>
      </x:c>
      <x:c r="F36" s="2"/>
      <x:c r="G36" s="2" t="str">
        <x:v>最终策划案.md；4.21</x:v>
      </x:c>
    </x:row>
    <x:row r="37" ht="60" customHeight="1">
      <x:c r="A37" s="17" t="str">
        <x:v>GAP_GAME_CODEX</x:v>
      </x:c>
      <x:c r="B37" s="2" t="str">
        <x:v>图鉴</x:v>
      </x:c>
      <x:c r="C37" s="17" t="str">
        <x:v>图鉴具体怪物ID与门槛奖励未确定，旧500/100/20仅调参参考。</x:v>
      </x:c>
      <x:c r="D37" s="17" t="str">
        <x:v>补齐该表实际数据与可追溯来源；执行对应规则/资源/数值验收后从unverified或candidate提升confirmed。</x:v>
      </x:c>
      <x:c r="E37" s="2" t="str">
        <x:v>open</x:v>
      </x:c>
      <x:c r="F37" s="2"/>
      <x:c r="G37" s="2" t="str">
        <x:v>最终策划案.md；4.17</x:v>
      </x:c>
    </x:row>
    <x:row r="38" ht="60" customHeight="1">
      <x:c r="A38" s="17" t="str">
        <x:v>GAP_GAME_SOUL_STARS</x:v>
      </x:c>
      <x:c r="B38" s="2" t="str">
        <x:v>魂兽</x:v>
      </x:c>
      <x:c r="C38" s="17" t="str">
        <x:v>逐类型星级D/C、合成、重复折片与属性缺失，旧五进制15,625等价已撤销。</x:v>
      </x:c>
      <x:c r="D38" s="17" t="str">
        <x:v>补齐该表实际数据与可追溯来源；执行对应规则/资源/数值验收后从unverified或candidate提升confirmed。</x:v>
      </x:c>
      <x:c r="E38" s="2" t="str">
        <x:v>open</x:v>
      </x:c>
      <x:c r="F38" s="2"/>
      <x:c r="G38" s="2" t="str">
        <x:v>最终策划案.md；4.22、5.9</x:v>
      </x:c>
    </x:row>
    <x:row r="39" ht="60" customHeight="1">
      <x:c r="A39" s="17" t="str">
        <x:v>GAP_GAME_MEDAL_LEVELS</x:v>
      </x:c>
      <x:c r="B39" s="2" t="str">
        <x:v>勋章</x:v>
      </x:c>
      <x:c r="C39" s="17" t="str">
        <x:v>正式逐级碎片与属性表缺失，附录历史60000片不作现行默认。</x:v>
      </x:c>
      <x:c r="D39" s="17" t="str">
        <x:v>补齐该表实际数据与可追溯来源；执行对应规则/资源/数值验收后从unverified或candidate提升confirmed。</x:v>
      </x:c>
      <x:c r="E39" s="2" t="str">
        <x:v>open</x:v>
      </x:c>
      <x:c r="F39" s="2"/>
      <x:c r="G39" s="2" t="str">
        <x:v>最终策划案.md；4.23</x:v>
      </x:c>
    </x:row>
    <x:row r="40" ht="60" customHeight="1">
      <x:c r="A40" s="17" t="str">
        <x:v>GAP_GAME_REWARD_GROUPS</x:v>
      </x:c>
      <x:c r="B40" s="2" t="str">
        <x:v>奖励</x:v>
      </x:c>
      <x:c r="C40" s="17" t="str">
        <x:v>奖励来源须单独声明绑定、资格和预算；击杀资格在判绑前确定。</x:v>
      </x:c>
      <x:c r="D40" s="17" t="str">
        <x:v>补齐该表实际数据与可追溯来源；执行对应规则/资源/数值验收后从unverified或candidate提升confirmed。</x:v>
      </x:c>
      <x:c r="E40" s="2" t="str">
        <x:v>open</x:v>
      </x:c>
      <x:c r="F40" s="2"/>
      <x:c r="G40" s="2" t="str">
        <x:v>最终策划案.md；4.7、4.18、4.21、5.11</x:v>
      </x:c>
    </x:row>
    <x:row r="41" ht="60" customHeight="1">
      <x:c r="A41" s="17" t="str">
        <x:v>GAP_GAME_REWARD_ENTRIES</x:v>
      </x:c>
      <x:c r="B41" s="2" t="str">
        <x:v>奖励</x:v>
      </x:c>
      <x:c r="C41" s="17" t="str">
        <x:v>实际整数奖量缺失，不能发放0.35羽毛等群体期望值。</x:v>
      </x:c>
      <x:c r="D41" s="17" t="str">
        <x:v>补齐该表实际数据与可追溯来源；执行对应规则/资源/数值验收后从unverified或candidate提升confirmed。</x:v>
      </x:c>
      <x:c r="E41" s="2" t="str">
        <x:v>open</x:v>
      </x:c>
      <x:c r="F41" s="2"/>
      <x:c r="G41" s="2" t="str">
        <x:v>最终策划案.md；4.7、4.18、4.21、5.11</x:v>
      </x:c>
    </x:row>
    <x:row r="42" ht="60" customHeight="1">
      <x:c r="A42" s="17" t="str">
        <x:v>GAP_GAME_SYSTEM_MAIL</x:v>
      </x:c>
      <x:c r="B42" s="2" t="str">
        <x:v>奖励</x:v>
      </x:c>
      <x:c r="C42" s="17" t="str">
        <x:v>只开放系统通知/奖励邮件，玩家互寄未纳入当前范围。</x:v>
      </x:c>
      <x:c r="D42" s="17" t="str">
        <x:v>补齐该表实际数据与可追溯来源；执行对应规则/资源/数值验收后从unverified或candidate提升confirmed。</x:v>
      </x:c>
      <x:c r="E42" s="2" t="str">
        <x:v>open</x:v>
      </x:c>
      <x:c r="F42" s="2"/>
      <x:c r="G42" s="2" t="str">
        <x:v>最终策划案.md；1、4.13、4.21</x:v>
      </x:c>
    </x:row>
    <x:row r="43" ht="60" customHeight="1">
      <x:c r="A43" s="17" t="str">
        <x:v>GAP_GAME_ATTRIBUTE_PIPELINE</x:v>
      </x:c>
      <x:c r="B43" s="2" t="str">
        <x:v>属性</x:v>
      </x:c>
      <x:c r="C43" s="17" t="str">
        <x:v>目标版本伤害/命中/防御管线、属性精度和来源预算需统一核验，禁止通用自造公式。</x:v>
      </x:c>
      <x:c r="D43" s="17" t="str">
        <x:v>补齐该表实际数据与可追溯来源；执行对应规则/资源/数值验收后从unverified或candidate提升confirmed。</x:v>
      </x:c>
      <x:c r="E43" s="2" t="str">
        <x:v>open</x:v>
      </x:c>
      <x:c r="F43" s="2"/>
      <x:c r="G43" s="2" t="str">
        <x:v>最终策划案.md；5.10、5.11</x:v>
      </x:c>
    </x:row>
    <x:row r="44" ht="60" customHeight="1">
      <x:c r="A44" s="17" t="str">
        <x:v>GAP_REFINING_SAMPLE</x:v>
      </x:c>
      <x:c r="B44" s="2" t="str">
        <x:v>洗炼</x:v>
      </x:c>
      <x:c r="C44" s="17" t="str">
        <x:v>16池类型权重、同件重复、锁定后排除策略尚未统一。</x:v>
      </x:c>
      <x:c r="D44" s="17" t="str">
        <x:v>审定唯一抽样规则并模拟目标集合、锁定策略与90/95分位成本。</x:v>
      </x:c>
      <x:c r="E44" s="2" t="str">
        <x:v>open</x:v>
      </x:c>
      <x:c r="F44" s="2"/>
      <x:c r="G44" s="2" t="str">
        <x:v>最终策划案.md:169-187、668-684；4.4、5.6</x:v>
      </x:c>
    </x:row>
    <x:row r="45" ht="60" customHeight="1">
      <x:c r="A45" s="17" t="str">
        <x:v>GAP_CURRENT_ECONOMY</x:v>
      </x:c>
      <x:c r="B45" s="2" t="str">
        <x:v>经济</x:v>
      </x:c>
      <x:c r="C45" s="17" t="str">
        <x:v>G_ref、药修、回收、幸运/改绑后消费与真实成交未按最终规则联合复算。</x:v>
      </x:c>
      <x:c r="D45" s="17" t="str">
        <x:v>运行三职业×1/4/8怪×装备×6/12/24h矩阵，采样标准组合后版本化审核报价。</x:v>
      </x:c>
      <x:c r="E45" s="2" t="str">
        <x:v>open</x:v>
      </x:c>
      <x:c r="F45" s="2"/>
      <x:c r="G45" s="2" t="str">
        <x:v>最终策划案.md:754-785、847-932、1380-1382；5.10、5.12、B.5</x:v>
      </x:c>
    </x:row>
    <x:row r="46" ht="60" customHeight="1">
      <x:c r="A46" s="17" t="str">
        <x:v>GAP_GOLD_MARKET_RISK</x:v>
      </x:c>
      <x:c r="B46" s="2" t="str">
        <x:v>市场</x:v>
      </x:c>
      <x:c r="C46" s="17" t="str">
        <x:v>金币委托期限、冷启动价、有效成交样本风控与最小样本门槛缺失。</x:v>
      </x:c>
      <x:c r="D46" s="17" t="str">
        <x:v>审核期限与参考价规则后填写，禁止沿用架构5%/百分精度和旧固定锚。</x:v>
      </x:c>
      <x:c r="E46" s="2" t="str">
        <x:v>open</x:v>
      </x:c>
      <x:c r="F46" s="2"/>
      <x:c r="G46" s="2" t="str">
        <x:v>最终策划案.md:298-319；4.9</x:v>
      </x:c>
    </x:row>
    <x:row r="47" ht="60" customHeight="1">
      <x:c r="A47" s="17" t="str">
        <x:v>GAP_BACKPACK_CAPACITY</x:v>
      </x:c>
      <x:c r="B47" s="2" t="str">
        <x:v>资产</x:v>
      </x:c>
      <x:c r="C47" s="17" t="str">
        <x:v>背包和已开始挑战的永久待领取队列容量、满队列处理未给具体数。</x:v>
      </x:c>
      <x:c r="D47" s="17" t="str">
        <x:v>根据掉装和领取频率设定有界容量，补齐入场/满包/故障恢复验收。</x:v>
      </x:c>
      <x:c r="E47" s="2" t="str">
        <x:v>open</x:v>
      </x:c>
      <x:c r="F47" s="2"/>
      <x:c r="G47" s="2" t="str">
        <x:v>最终策划案.md:127-129；4.2</x:v>
      </x:c>
    </x:row>
    <x:row r="48" ht="60" customHeight="1">
      <x:c r="A48" s="17" t="str">
        <x:v>GAP_BODY_ATTRS</x:v>
      </x:c>
      <x:c r="B48" s="2" t="str">
        <x:v>炼体</x:v>
      </x:c>
      <x:c r="C48" s="17" t="str">
        <x:v>七系属性曲线未发布，费用候选不能单独开放首测收费。</x:v>
      </x:c>
      <x:c r="D48" s="17" t="str">
        <x:v>完成全来源预算和职业战斗收益测量后同时发布属性与费用。</x:v>
      </x:c>
      <x:c r="E48" s="2" t="str">
        <x:v>open</x:v>
      </x:c>
      <x:c r="F48" s="2"/>
      <x:c r="G48" s="2" t="str">
        <x:v>最终策划案.md:197-217；4.5</x:v>
      </x:c>
    </x:row>
    <x:row r="49" ht="60" customHeight="1">
      <x:c r="A49" s="17" t="str">
        <x:v>GAP_CURRENT_WING_SUPPLY</x:v>
      </x:c>
      <x:c r="B49" s="2" t="str">
        <x:v>翅膀</x:v>
      </x:c>
      <x:c r="C49" s="17" t="str">
        <x:v>逐阶羽毛、竞技兑换价和世界供给尚未统一，历史100积分不能替代当前250候选。</x:v>
      </x:c>
      <x:c r="D49" s="17" t="str">
        <x:v>合并全渠道供给与整数发放模拟，审定逐阶需求及周期分位数。</x:v>
      </x:c>
      <x:c r="E49" s="2" t="str">
        <x:v>open</x:v>
      </x:c>
      <x:c r="F49" s="2"/>
      <x:c r="G49" s="2" t="str">
        <x:v>最终策划案.md:535-551、1359-1361；4.24、B.3</x:v>
      </x:c>
    </x:row>
    <x:row r="50" ht="60" customHeight="1">
      <x:c r="A50" s="17" t="str">
        <x:v>GAP_UI_PRIMARY_REFERENCE</x:v>
      </x:c>
      <x:c r="B50" s="2" t="str">
        <x:v>客户端</x:v>
      </x:c>
      <x:c r="C50" s="17" t="str">
        <x:v>用户已于2026-10-26补充并指定主界面布局参考PNG；按最终策划制作可编辑场景/预制体和真机验收尚未完成。</x:v>
      </x:c>
      <x:c r="D50" s="17" t="str">
        <x:v>以用户确认PNG为布局基准，按最终策划制作可编辑场景与预制体并完成适配和真机验收。参考来源已确认不等于界面验收通过。</x:v>
      </x:c>
      <x:c r="E50" s="2" t="str">
        <x:v>open</x:v>
      </x:c>
      <x:c r="F50" s="2"/>
      <x:c r="G50" s="2" t="str">
        <x:v>用户2026-10-26确认图片；资料索引/用户确认参考.json；最终策划案.md:378-397（4.13）</x:v>
      </x:c>
    </x:row>
    <x:row r="51" ht="60" customHeight="1">
      <x:c r="A51" s="17" t="str">
        <x:v>GAP_AD_LIMITS</x:v>
      </x:c>
      <x:c r="B51" s="2" t="str">
        <x:v>商业化</x:v>
      </x:c>
      <x:c r="C51" s="17" t="str">
        <x:v>激励视频账号/IP/设备联合限额及平台回调尚未配置。</x:v>
      </x:c>
      <x:c r="D51" s="17" t="str">
        <x:v>取得平台官方接入和限额配置，验证唯一广告事件、跨角色与共享IP处理。</x:v>
      </x:c>
      <x:c r="E51" s="2" t="str">
        <x:v>open</x:v>
      </x:c>
      <x:c r="F51" s="2"/>
      <x:c r="G51" s="2" t="str">
        <x:v>最终策划案.md:372-374、934-940；4.12、6</x:v>
      </x:c>
    </x:row>
    <x:row r="52" ht="60" customHeight="1">
      <x:c r="A52" s="17" t="str">
        <x:v>GAP_PAYMENTS</x:v>
      </x:c>
      <x:c r="B52" s="2" t="str">
        <x:v>商业化</x:v>
      </x:c>
      <x:c r="C52" s="17" t="str">
        <x:v>真实充值渠道、验证回调、退款和人民币元宝换算配置未接入。</x:v>
      </x:c>
      <x:c r="D52" s="17" t="str">
        <x:v>接入目标渠道服务端验证；重复通知/未知支付/退款幂等与非绑元宝守恒验收。</x:v>
      </x:c>
      <x:c r="E52" s="2" t="str">
        <x:v>open</x:v>
      </x:c>
      <x:c r="F52" s="2"/>
      <x:c r="G52" s="2" t="str">
        <x:v>最终策划案.md:137-145、934-940；4.3、6</x:v>
      </x:c>
    </x:row>
    <x:row r="53" ht="60" customHeight="1">
      <x:c r="A53" s="17" t="str">
        <x:v>GAP_BATTLEPASS_ACTIVITY</x:v>
      </x:c>
      <x:c r="B53" s="2" t="str">
        <x:v>商业化</x:v>
      </x:c>
      <x:c r="C53" s="17" t="str">
        <x:v>战令活跃资格、赛季任务与补领条件缺具体表，奖励为候选。</x:v>
      </x:c>
      <x:c r="D53" s="17" t="str">
        <x:v>审定日资格任务、升档差额及30天总量影响，生成完整赛季奖励表。</x:v>
      </x:c>
      <x:c r="E53" s="2" t="str">
        <x:v>open</x:v>
      </x:c>
      <x:c r="F53" s="2"/>
      <x:c r="G53" s="2" t="str">
        <x:v>最终策划案.md:321-335；4.10</x:v>
      </x:c>
    </x:row>
    <x:row r="54" ht="60" customHeight="1">
      <x:c r="A54" s="17" t="str">
        <x:v>GAP_LUCK_INITIAL_WEIGHTS</x:v>
      </x:c>
      <x:c r="B54" s="2" t="str">
        <x:v>幸运</x:v>
      </x:c>
      <x:c r="C54" s="17" t="str">
        <x:v>掉落1%/打造15%已定，触发后幸运1..3等权是首测补充，需统一版本审核。</x:v>
      </x:c>
      <x:c r="D54" s="17" t="str">
        <x:v>确认权重并执行幸运贡献、油耗和原攻击区间接入对照。</x:v>
      </x:c>
      <x:c r="E54" s="2" t="str">
        <x:v>open</x:v>
      </x:c>
      <x:c r="F54" s="2"/>
      <x:c r="G54" s="2" t="str">
        <x:v>最终策划案.md:223-225；4.6</x:v>
      </x:c>
    </x:row>
    <x:row r="55" ht="60" customHeight="1">
      <x:c r="A55" s="17" t="str">
        <x:v>GAP_ALL_SYSTEM_VALIDATION</x:v>
      </x:c>
      <x:c r="B55" s="2" t="str">
        <x:v>验收</x:v>
      </x:c>
      <x:c r="C55" s="17" t="str">
        <x:v>配置有依据不等于玩法已实现；业务并发、故障恢复、技能和真机验收均待执行。</x:v>
      </x:c>
      <x:c r="D55" s="17" t="str">
        <x:v>按开发阶段执行对应测试并保存报告，不用表完整性替代功能正确性。</x:v>
      </x:c>
      <x:c r="E55" s="2" t="str">
        <x:v>open</x:v>
      </x:c>
      <x:c r="F55" s="2"/>
      <x:c r="G55" s="2" t="str">
        <x:v>最终策划案.md:1139-1262；8、10</x:v>
      </x:c>
    </x:row>
    <x:row r="56" ht="60" customHeight="1">
      <x:c r="A56" s="17" t="str">
        <x:v>GAP_COPPER_INTEGER_SETTLEMENT</x:v>
      </x:c>
      <x:c r="B56" s="2" t="str">
        <x:v>工坊</x:v>
      </x:c>
      <x:c r="C56" s="17" t="str">
        <x:v>需确认将5.12逐块向下取整口径采纳或调整为正式矿石回收规则并完成验收；铜矿每纯度1/2金币涉及奇数纯度结算。</x:v>
      </x:c>
      <x:c r="D56" s="17" t="str">
        <x:v>确认采纳floor_per_ore或审定替代策略，验证铜矿奇偶纯度、逐块/批量回收、绑定分账与金币整数守恒；保留历史候选来源和验收记录。</x:v>
      </x:c>
      <x:c r="E56" s="2" t="str">
        <x:v>open</x:v>
      </x:c>
      <x:c r="F56" s="2"/>
      <x:c r="G56" s="2" t="str">
        <x:v>最终策划案.md:559-566、873；4.25、5.12（历史测算取整候选）</x:v>
      </x:c>
    </x:row>
  </x:sheetData>
  <x:conditionalFormatting sqref="E4:E1003">
    <x:cfRule type="containsText" dxfId="810" priority="1" operator="containsText" text="open"/>
  </x:conditionalFormatting>
  <x:dataValidations count="1">
    <x:dataValidation type="list" sqref="E4:E1003">
      <x:formula1>"open,resolved,not_applicable"</x:formula1>
    </x:dataValidation>
  </x:dataValidations>
  <x:pageMargins left="0.7" right="0.7" top="0.75" bottom="0.75" header="0.3" footer="0.3"/>
</x:worksheet>
</file>

<file path=xl/worksheets/sheet94.xml><?xml version="1.0" encoding="utf-8"?>
<x:worksheet xmlns:x="http://schemas.openxmlformats.org/spreadsheetml/2006/main">
  <x:sheetPr>
    <x:tabColor rgb="FF8795A5"/>
  </x:sheetPr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  <x:col min="3" max="3" width="102" hidden="0" customWidth="1"/>
  </x:cols>
  <x:sheetData>
    <x:row r="1" ht="34" customHeight="1">
      <x:c r="A1" s="7" t="str">
        <x:v>维护项目</x:v>
      </x:c>
      <x:c r="B1" s="7" t="str">
        <x:v>执行规则</x:v>
      </x:c>
      <x:c r="C1" s="7" t="str">
        <x:v>说明</x:v>
      </x:c>
    </x:row>
    <x:row r="2" ht="34" customHeight="1">
      <x:c r="A2" s="2" t="str">
        <x:v>数据源</x:v>
      </x:c>
      <x:c r="B2" s="2" t="str">
        <x:v>本工作簿第4行起</x:v>
      </x:c>
      <x:c r="C2" s="2" t="str">
        <x:v>第1行为中文标题，第2行字段名，第3行类型/必填/单位/双端目标</x:v>
      </x:c>
    </x:row>
    <x:row r="3" ht="34" customHeight="1">
      <x:c r="A3" s="2" t="str">
        <x:v>规则依据</x:v>
      </x:c>
      <x:c r="B3" s="2" t="str">
        <x:v>最终策划案.md</x:v>
      </x:c>
      <x:c r="C3" s="2" t="str">
        <x:v>玩法、数值、当前范围按最终策划；架构方案提供技术参考</x:v>
      </x:c>
    </x:row>
    <x:row r="4" ht="34" customHeight="1">
      <x:c r="A4" s="2" t="str">
        <x:v>记录状态</x:v>
      </x:c>
      <x:c r="B4" s="2" t="str">
        <x:v>confirmed / candidate / unverified / historical</x:v>
      </x:c>
      <x:c r="C4" s="2" t="str">
        <x:v>已定 / 首测候选 / 待核验 / 历史样本；历史不进入运行配置</x:v>
      </x:c>
    </x:row>
    <x:row r="5" ht="34" customHeight="1">
      <x:c r="A5" s="2" t="str">
        <x:v>缺少参数</x:v>
      </x:c>
      <x:c r="B5" s="2" t="str">
        <x:v>保持空白</x:v>
      </x:c>
      <x:c r="C5" s="2" t="str">
        <x:v>空白与0不同，必填缺失禁止正式发布</x:v>
      </x:c>
    </x:row>
    <x:row r="6" ht="34" customHeight="1">
      <x:c r="A6" s="2" t="str">
        <x:v>导出目标</x:v>
      </x:c>
      <x:c r="B6" s="2" t="str">
        <x:v>server / client / both / none</x:v>
      </x:c>
      <x:c r="C6" s="2" t="str">
        <x:v>客户端不接收服务端专用字段，来源及备注均不下发</x:v>
      </x:c>
    </x:row>
    <x:row r="7" ht="34" customHeight="1">
      <x:c r="A7" s="2" t="str">
        <x:v>元宝精度</x:v>
      </x:c>
      <x:c r="B7" s="2" t="str">
        <x:v>显示1元宝 = 内部10</x:v>
      </x:c>
      <x:c r="C7" s="2" t="str">
        <x:v>账本金钱用整数，来源架构百分精度已列适配</x:v>
      </x:c>
    </x:row>
    <x:row r="8" ht="34" customHeight="1">
      <x:c r="A8" s="2" t="str">
        <x:v>改表方式</x:v>
      </x:c>
      <x:c r="B8" s="2" t="str">
        <x:v>新增记录；保留稳定id</x:v>
      </x:c>
      <x:c r="C8" s="2" t="str">
        <x:v>新增字段需同步schema；不重排/改写第2行字段名</x:v>
      </x:c>
    </x:row>
    <x:row r="9" ht="34" customHeight="1">
      <x:c r="A9" s="2" t="str">
        <x:v>结构校验</x:v>
      </x:c>
      <x:c r="B9" s="2" t="str">
        <x:v>python3 tools/config/export_configs.py --check</x:v>
      </x:c>
      <x:c r="C9" s="2" t="str">
        <x:v>结构正确不等于实现和数值已验收</x:v>
      </x:c>
    </x:row>
    <x:row r="10" ht="34" customHeight="1">
      <x:c r="A10" s="2" t="str">
        <x:v>研发预览</x:v>
      </x:c>
      <x:c r="B10" s="2" t="str">
        <x:v>python3 tools/config/export_configs.py</x:v>
      </x:c>
      <x:c r="C10" s="2" t="str">
        <x:v>预览含候选与空值，读取runtime_ready后决定是否可运行</x:v>
      </x:c>
    </x:row>
    <x:row r="11" ht="34" customHeight="1">
      <x:c r="A11" s="2" t="str">
        <x:v>正式门禁</x:v>
      </x:c>
      <x:c r="B11" s="2" t="str">
        <x:v>python3 tools/config/export_configs.py --check --mode release</x:v>
      </x:c>
      <x:c r="C11" s="2" t="str">
        <x:v>必需配置、技能证据、资源映射和业务验收未齐时返回失败</x:v>
      </x:c>
    </x:row>
    <x:row r="12" ht="34" customHeight="1">
      <x:c r="A12" s="2" t="str">
        <x:v>首次种子</x:v>
      </x:c>
      <x:c r="B12" s="2" t="str">
        <x:v>config/catalog/fragments</x:v>
      </x:c>
      <x:c r="C12" s="2" t="str">
        <x:v>仅保留本次来源提取记录，后续数值以本工作簿为唯一维护源</x:v>
      </x:c>
    </x:row>
    <x:row r="13" ht="34" customHeight="1">
      <x:c r="A13" s="2"/>
      <x:c r="B13" s="2"/>
      <x:c r="C13" s="2"/>
    </x:row>
    <x:row r="14" ht="34" customHeight="1">
      <x:c r="A14" s="2"/>
      <x:c r="B14" s="2"/>
      <x:c r="C14" s="2"/>
    </x:row>
    <x:row r="15" ht="34" customHeight="1">
      <x:c r="A15" s="2"/>
      <x:c r="B15" s="2"/>
      <x:c r="C15" s="2"/>
    </x:row>
    <x:row r="16" ht="34" customHeight="1">
      <x:c r="A16" s="2"/>
      <x:c r="B16" s="2"/>
      <x:c r="C16" s="2"/>
    </x:row>
  </x:sheetData>
  <x:pageMargins left="0.7" right="0.7" top="0.75" bottom="0.75" header="0.3" footer="0.3"/>
</x:worksheet>
</file>

<file path=xl/worksheets/sheet9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42" hidden="0" customWidth="1"/>
    <x:col min="3" max="3" width="120" hidden="0" customWidth="1"/>
    <x:col min="4" max="4" width="20" hidden="0" customWidth="1"/>
    <x:col min="5" max="5" width="70" hidden="0" customWidth="1"/>
    <x:col min="6" max="6" width="80" hidden="0" customWidth="1"/>
  </x:cols>
  <x:sheetData>
    <x:row r="1">
      <x:c r="A1" s="7" t="str">
        <x:v>配置编号</x:v>
      </x:c>
      <x:c r="B1" s="7" t="str">
        <x:v>开发配置键</x:v>
      </x:c>
      <x:c r="C1" s="7" t="str">
        <x:v>仅开发测试参数</x:v>
      </x:c>
      <x:c r="D1" s="7" t="str">
        <x:v>参数状态</x:v>
      </x:c>
      <x:c r="E1" s="7" t="str">
        <x:v>来源与开发授权</x:v>
      </x:c>
      <x:c r="F1" s="7" t="str">
        <x:v>说明</x:v>
      </x:c>
    </x:row>
    <x:row r="2">
      <x:c r="A2" s="12" t="str">
        <x:v>id</x:v>
      </x:c>
      <x:c r="B2" s="12" t="str">
        <x:v>profile_key</x:v>
      </x:c>
      <x:c r="C2" s="12" t="str">
        <x:v>parameters</x:v>
      </x:c>
      <x:c r="D2" s="12" t="str">
        <x:v>record_status</x:v>
      </x:c>
      <x:c r="E2" s="12" t="str">
        <x:v>source_ref</x:v>
      </x:c>
      <x:c r="F2" s="12" t="str">
        <x:v>note</x:v>
      </x:c>
    </x:row>
    <x:row r="3">
      <x:c r="A3" s="15" t="str">
        <x:v>int / 必填 / none</x:v>
      </x:c>
      <x:c r="B3" s="15" t="str">
        <x:v>string / 必填 / none</x:v>
      </x:c>
      <x:c r="C3" s="15" t="str">
        <x:v>json / 必填 / none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05.5999984741211" hidden="0" customHeight="1">
      <x:c r="A4" s="19" t="n">
        <x:v>1</x:v>
      </x:c>
      <x:c r="B4" s="17" t="str">
        <x:v>first_loop_closed_development</x:v>
      </x:c>
      <x:c r="C4" s="17" t="inlineStr">
        <x:is>
          <x:t xml:space="preserve">{"rule_version":19,"map_id":1,"monster_id":1,"pet_id":1,"players":[{"job_id":0,"definition_id":0,"hp":18,"mp":14,"attack_min":0,"attack_max":0,"defence":0,"attack_ms":1386,"move_ms":600,"magic_min":0,"magic_max":0,"tao_min":0,"tao_max":0,"defence_min":0,"defence_max":0,"magic_defence_min":0,"magic_defence_max":0,"accuracy":5,"agility":15,"magic_resist":0,"magic_resist_weight":10,"attack_speed":0,"can_push":true},{"job_id":1,"definition_id":1,"hp":15,"mp":17,"attack_min":0,"attack_max":0,"defence":0,"attack_ms":1386,"move_ms":600,"magic_min":0,"magic_max":0,"tao_min":0,"tao_max":0,"defence_min":0,"defence_max":0,"magic_defence_min":0,"magic_defence_max":0,"accuracy":5,"agility":15,"magic_resist":0,"magic_resist_weight":10,"attack_speed":0,"can_push":true},{"job_id":2,"definition_id":2,"hp":16,"mp":13,"attack_min":0,"attack_max":0,"defence":0,"attack_ms":1386,"move_ms":600,"magic_min":0,"magic_max":0,"tao_min":0,"tao_max":0,"defence_min":0,"defence_max":0,"magic_defence_min":0,"magic_defence_max":0,"accuracy":5,"agility":18,"magic_resist":0,"magic_resist_weight":10,"attack_speed":0,"can_push":true}],"inventory_capacity":32,"initial_inventory":[218,218,193,35,36],"initial_bound_gold":0,"allow_free_dev_revive":true,"damage_formula":"development_source_combat","recycle_test_gold_by_item":{"35":0,"36":0,"193":400,"218":50},"technical_parameters_notice":"rule15仅开发来源瞬移：200ms延迟、完整绑定图随机、MP10+rank×3及Flux候选由对应唯一基础表维护。承接原streaming/旅行/导航受控参数；不改变事务/租约时限，不持久坐标/MP/CD/临时世界，不作容量或完整目标1.80认证。；rule16同owner保留身体/尸体有界；独立训练定义来自PetDefs/Growth，原免费bootstrap不训练，17与护符仍关闭，不认证容量。；rule17显式NoPets/RecallName与关闭的召唤独立候选，主仍22技能、legacy不训练、材料关闭；不认证17/购符业务。","player_stats_source":"Crystal Shared/BaseStats.cs 默认三职业成长与float32 Calculate；项目独立副本/摘要见docs/技能来源核验与实施清单.md；非目标1.80认证；HumanObject.cs:1766–1768攻击间隔随等级重算；2974–2975、3201普通前格时序。","damage_scope_notice":"开发来源候选：DC/MC/SC、AC/MAC区间、准确敏捷、基础剑术被动；火球延迟单体、治愈独立队列。元素、幸运、完整职业技能/升级仍未验收。 本轮补单体与3×3范围、雷电不死倍率、逐杀序号与原事件时刻；仍不包含幸运/元素/完整Buff。 本轮补攻杀/刺杀/半月/烈火及疾光/冰咆哮/地雷，binary32逐步运算；地狱火所有阶固定正前4格已由用户审定。仍非完整1.80核验。","revive_notice":"开发测试行为，不是已核验正式死亡/复活规则；不收费、不掉经验、不掉装；健康重连不回血，主动操作幂等恢复。","potions":{"tick_ms":200,"base_per_tick":5,"levels_per_step":10,"use_delay_ms":300,"queue_cap":65535,"effects":[{"item_id":35,"hp":20,"mp":0},{"item_id":36,"hp":0,"mp":30}]},"player_growth":[{"job_id":0,"hp_base":14,"mp_base":11,"hp_gain":4,"hp_gain_rate":4.5,"mp_gain":3.5,"mp_gain_rate":0,"attack_divisor":5,"defence_max_divisor":7,"magic_divisor":0,"tao_divisor":0,"magic_defence_min_divisor":0,"magic_defence_max_divisor":0},{"job_id":1,"hp_base":14,"mp_base":13,"hp_gain":15,"hp_gain_rate":1.8,"mp_gain":5,"mp_gain_rate":0,"attack_divisor":7,"defence_max_divisor":0,"magic_divisor":7,"tao_divisor":0,"magic_defence_min_divisor":0,"magic_defence_max_divisor":0},{"job_id":2,"hp_base":14,"mp_base":13,"hp_gain":6,"hp_gain_rate":2.5,"mp_gain":8,"mp_gain_rate":0,"attack_divisor":7,"defence_max_divisor":0,"magic_divisor":0,"tao_divisor":7,"magic_defence_min_divisor":12,"magic_defence_max_divisor":6}],"healing":{"tick_ms":600,"base_per_tick":5,"pet_base_per_tick":5,"levels_per_step":10,"queue_fraction_divisor":10,"queue_cap":65535},"initial_skill_books":[{"job_id":1,"item_id":7},{"job_id":2,"item_id":21},{"job_id":0,"item_id":1}],"skill_ids":[1,2,3,4,5,11,23,29,7,12,25,26,10,33,24,9,14,15,31,8,27,21],"skill_economy":{"page_item_id":900001,"preview_ttl_ms":120000,"preview_material_limit":32},"skill_shop_entries":[{"offer_id":6,"item_id":7,"required_role_level":1,"max_purchase_quantity":32},{"offer_id":7,"item_id":21,"required_role_level":1,"max_purchase_quantity":32},{"offer_id":8,"item_id":1,"required_role_level":1,"max_purchase_quantity":32},{"offer_id":3,"item_id":900001,"required_role_level":1,"max_purchase_quantity":32},{"offer_id":4,"item_id":900001,"required_role_level":1,"max_purchase_quantity":32},{"offer_id":9,"item_id":22,"required_role_level":1,"max_purchase_quantity":32},{"offer_id":10,"item_id":12,"required_role_level":1,"max_purchase_quantity":32},{"offer_id":11,"item_id":11,"required_role_level":1,"max_purchase_quantity":32},{"offer_id":12,"item_id":14,"required_role_level":1,"max_purchase_quantity":32},{"offer_id":13,"item_id":32,"required_role_level":1,"max_purchase_quantity":32},{"offer_id":14,"item_id":2,"required_role_level":1,"max_purchase_quantity":32},{"offer_id":15,"item_id":3,"required_role_level":1,"max_purchase_quantity":32},{"offer_id":16,"item_id":4,"required_role_level":1,"max_purchase_quantity":32},{"offer_id":17,"item_id":6,"required_role_level":1,"max_purchase_quantity":32},{"offer_id":18,"item_id":16,"required_role_level":1,"max_purchase_quantity":32},{"offer_id":19,"item_id":20,"required_role_level":1,"max_purchase_quantity":32},{"offer_id":20,"item_id":17,"required_role_level":1,"max_purchase_quantity":32},{"offer_id":21,"item_id":10,"required_role_level":1,"max_purchase_quantity":32},{"offer_id":22,"item_id":28,"required_role_level":1,"max_purchase_quantity":32},{"offer_id":23,"item_id":29,"required_role_level":1,"max_purchase_quantity":32},{"offer_id":24,"item_id":18,"required_role_level":1,"max_purchase_quantity":32},{"offer_id":25,"item_id":8,"required_role_level":1,"max_purchase_quantity":32},{"offer_id":26,"item_id":5,"required_role_level":1,"max_purchase_quantity":32},{"offer_id":27,"item_id":13,"required_role_level":1,"max_purchase_quantity":32}],"recyclable_book_ids":[7,21,1,22,12,11,14,32,2,3,4,6,16,20,17,10,28,29,18,8,5,13],"recycle_source_kinds":["monster_drop"],"skill_book_drop_quality":1,"combat_timing":{"player_attack_base_ms":1400,"player_attack_speed_step_ms":60,"player_attack_level_step_ms":14,"player_attack_level_cap_ms":370,"player_attack_min_ms":550,"player_attack_action_ms":550,"player_attack_impact_ms":300,"event_capacity":128,"kill_queue_capacity":16,"player_push_action_ms":500,"monster_push_action_ms_per_step":300,"monster_push_move_ms_per_step":500,"pushed_step_display_ms":300},"pet_spawn":{"x":8,"y":7},"casting_supply":{"enabled":false,"slot":100,"item_ids":[187]},"map_catalog_ids":[2],"binding":{"enabled":false,"start_points":[],"safe_zone_enabled":true},"source_map_streaming":{"load_concurrency":4,"cache_capacity":49},"town_travel":{"enabled":true,"town_map_id":2,"plan_ttl_ms":120000,"quiesce_ttl_ms":10000,"ack_ttl_ms":120000,"max_plans_per_scene":256},"town_navigation":{"enabled":true,"work_per_task":1024,"work_per_worker_tick":8192,"workspaces_per_worker":1,"queue_per_worker":64,"max_expanded":490000,"max_frontier":65536,"max_route_cells":4096,"max_replans":3,"max_dynamic_cells":2,"max_memory_bytes_per_worker":33554432},"pet_runtime":{"enabled":true,"bootstrap_mode":"legacy_untrained_pet","definition_ids":[1]},"equipment_recycling":{"mode":"development_gold_only","outputs":[]}}</x:t>
        </x:is>
      </x:c>
      <x:c r="D4" s="17" t="str">
        <x:v>candidate</x:v>
      </x:c>
      <x:c r="E4" s="18" t="inlineStr">
        <x:is>
          <x:t xml:space="preserve">rule15源码开发候选；Crystal Server/MirEnvir/Envir.cs:654–656、MirDatabase/MagicInfo.cs:18,219–221、MirObjects/HumanObject.cs:186,3375–3397,3424–3451,3537–3540,6096–6107、MirObjects/PlayerObject.cs:4633–4647；非目标1.80完整认证；既有首循环、状态、绑定及城镇来源继续按各基础表来源；本任务rule15原World执行与连接scene解耦技术开发候选；本任务rule16宠物驻留/身体/训练候选，数值由PetDefs/Growth及架构预算共同维护；rule17地图宠物政策与独立召唤候选，同源参数不激活主技能</x:t>
        </x:is>
      </x:c>
      <x:c r="F4" s="18" t="inlineStr">
        <x:is>
          <x:t xml:space="preserve">rule15选入21及正常购书/原书升级候选，初始仅赠原三职业一本，不随新增技能增加赠书。随机新生池仍关闭；只有已核证明资格可施放21。 rule16仅旧免费bootstrap的原对象死亡/尸体生命周期，正常17材料召唤仍待用户护符单位决定；不新增初始书。 rule17主profile不追加技能17/书25/商店/升级/初始赠书；护符187未知值保持。独立catalog含完整三阶候选，不绕过校验。</x:t>
        </x:is>
      </x:c>
    </x:row>
    <x:row r="5">
      <x:c r="A5" s="19"/>
      <x:c r="B5" s="17"/>
      <x:c r="C5" s="17"/>
      <x:c r="D5" s="17"/>
      <x:c r="E5" s="18"/>
      <x:c r="F5" s="18"/>
    </x:row>
    <x:row r="6">
      <x:c r="A6" s="19"/>
      <x:c r="B6" s="17"/>
      <x:c r="C6" s="17"/>
      <x:c r="D6" s="17"/>
      <x:c r="E6" s="18"/>
      <x:c r="F6" s="18"/>
    </x:row>
    <x:row r="7">
      <x:c r="A7" s="19"/>
      <x:c r="B7" s="17"/>
      <x:c r="C7" s="17"/>
      <x:c r="D7" s="17"/>
      <x:c r="E7" s="18"/>
      <x:c r="F7" s="18"/>
    </x:row>
    <x:row r="8">
      <x:c r="A8" s="19"/>
      <x:c r="B8" s="17"/>
      <x:c r="C8" s="17"/>
      <x:c r="D8" s="17"/>
      <x:c r="E8" s="18"/>
      <x:c r="F8" s="18"/>
    </x:row>
    <x:row r="9">
      <x:c r="A9" s="19"/>
      <x:c r="B9" s="17"/>
      <x:c r="C9" s="17"/>
      <x:c r="D9" s="17"/>
      <x:c r="E9" s="18"/>
      <x:c r="F9" s="18"/>
    </x:row>
  </x:sheetData>
  <x:conditionalFormatting sqref="D4:D1003">
    <x:cfRule type="containsText" dxfId="811" priority="1" operator="containsText" text="candidate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